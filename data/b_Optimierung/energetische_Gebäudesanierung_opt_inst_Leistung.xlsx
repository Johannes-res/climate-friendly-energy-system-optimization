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HansisRasanterRaser\Desktop\UNI\000_DA\git\knEBiD\data\b_Optimierung\"/>
    </mc:Choice>
  </mc:AlternateContent>
  <xr:revisionPtr revIDLastSave="0" documentId="13_ncr:1_{D080905C-BA37-4349-A888-7F313E46318A}" xr6:coauthVersionLast="47" xr6:coauthVersionMax="47" xr10:uidLastSave="{00000000-0000-0000-0000-000000000000}"/>
  <bookViews>
    <workbookView xWindow="-28800" yWindow="0" windowWidth="14400" windowHeight="15750" xr2:uid="{00000000-000D-0000-FFFF-FFFF00000000}"/>
  </bookViews>
  <sheets>
    <sheet name="inst_leistung" sheetId="1" r:id="rId1"/>
    <sheet name="batterie_kapazitaet" sheetId="2" r:id="rId2"/>
    <sheet name="pump_kapazitaet" sheetId="3" r:id="rId3"/>
    <sheet name="Kosten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2" i="1"/>
  <c r="F3" i="1"/>
  <c r="F4" i="1"/>
  <c r="F5" i="1"/>
  <c r="F6" i="1"/>
  <c r="F7" i="1"/>
  <c r="F8" i="1"/>
  <c r="F9" i="1"/>
  <c r="F2" i="1"/>
  <c r="E3" i="1"/>
  <c r="E4" i="1"/>
  <c r="E5" i="1"/>
  <c r="E6" i="1"/>
  <c r="E7" i="1"/>
  <c r="E8" i="1"/>
  <c r="E9" i="1"/>
  <c r="E2" i="1"/>
</calcChain>
</file>

<file path=xl/sharedStrings.xml><?xml version="1.0" encoding="utf-8"?>
<sst xmlns="http://schemas.openxmlformats.org/spreadsheetml/2006/main" count="33" uniqueCount="13">
  <si>
    <t>Technologie</t>
  </si>
  <si>
    <t>Träger</t>
  </si>
  <si>
    <t>Wert</t>
  </si>
  <si>
    <t>Fotovoltaik</t>
  </si>
  <si>
    <t>Strom</t>
  </si>
  <si>
    <t>Wind_Onshore</t>
  </si>
  <si>
    <t>Wind_Offshore</t>
  </si>
  <si>
    <t>Laufwasser</t>
  </si>
  <si>
    <t>Andere</t>
  </si>
  <si>
    <t>Batteriespeicher</t>
  </si>
  <si>
    <t>Pumpspeicher</t>
  </si>
  <si>
    <t>Wasserstoffkaverne</t>
  </si>
  <si>
    <t>Annualisierte CAPEX [EUR/Jahr]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</si>
</sst>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F16" sqref="F16"/>
    </sheetView>
  </sheetViews>
  <sheetFormatPr baseColWidth="10" defaultColWidth="9.140625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</row>
    <row r="2" spans="1:7" x14ac:dyDescent="0.25">
      <c r="A2" s="1" t="s">
        <v>3</v>
      </c>
      <c r="B2" t="s">
        <v>4</v>
      </c>
      <c r="C2">
        <v>368517.38</v>
      </c>
      <c r="D2">
        <v>394058.44</v>
      </c>
      <c r="E2">
        <f>C2/D2</f>
        <v>0.93518458835699603</v>
      </c>
      <c r="F2">
        <f>(1-E2)*100</f>
        <v>6.4815411643003973</v>
      </c>
      <c r="G2">
        <f>C2/1000</f>
        <v>368.51738</v>
      </c>
    </row>
    <row r="3" spans="1:7" x14ac:dyDescent="0.25">
      <c r="A3" s="1" t="s">
        <v>5</v>
      </c>
      <c r="B3" t="s">
        <v>4</v>
      </c>
      <c r="C3">
        <v>365900</v>
      </c>
      <c r="D3">
        <v>365900</v>
      </c>
      <c r="E3">
        <f t="shared" ref="E3:E9" si="0">C3/D3</f>
        <v>1</v>
      </c>
      <c r="F3">
        <f t="shared" ref="F3:F9" si="1">(1-E3)*100</f>
        <v>0</v>
      </c>
      <c r="G3">
        <f t="shared" ref="G3:G9" si="2">C3/1000</f>
        <v>365.9</v>
      </c>
    </row>
    <row r="4" spans="1:7" x14ac:dyDescent="0.25">
      <c r="A4" s="1" t="s">
        <v>6</v>
      </c>
      <c r="B4" t="s">
        <v>4</v>
      </c>
      <c r="C4">
        <v>8473</v>
      </c>
      <c r="D4">
        <v>9956.4418999999998</v>
      </c>
      <c r="E4">
        <f t="shared" si="0"/>
        <v>0.85100682403419636</v>
      </c>
      <c r="F4">
        <f t="shared" si="1"/>
        <v>14.899317596580364</v>
      </c>
      <c r="G4">
        <f t="shared" si="2"/>
        <v>8.4730000000000008</v>
      </c>
    </row>
    <row r="5" spans="1:7" x14ac:dyDescent="0.25">
      <c r="A5" s="1" t="s">
        <v>7</v>
      </c>
      <c r="B5" t="s">
        <v>4</v>
      </c>
      <c r="C5">
        <v>9439</v>
      </c>
      <c r="D5">
        <v>9439</v>
      </c>
      <c r="E5">
        <f t="shared" si="0"/>
        <v>1</v>
      </c>
      <c r="F5">
        <f t="shared" si="1"/>
        <v>0</v>
      </c>
      <c r="G5">
        <f t="shared" si="2"/>
        <v>9.4390000000000001</v>
      </c>
    </row>
    <row r="6" spans="1:7" x14ac:dyDescent="0.25">
      <c r="A6" s="1" t="s">
        <v>8</v>
      </c>
      <c r="B6" t="s">
        <v>4</v>
      </c>
      <c r="C6">
        <v>0</v>
      </c>
      <c r="D6">
        <v>0</v>
      </c>
      <c r="E6" t="e">
        <f t="shared" si="0"/>
        <v>#DIV/0!</v>
      </c>
      <c r="F6" t="e">
        <f t="shared" si="1"/>
        <v>#DIV/0!</v>
      </c>
      <c r="G6">
        <f t="shared" si="2"/>
        <v>0</v>
      </c>
    </row>
    <row r="7" spans="1:7" x14ac:dyDescent="0.25">
      <c r="A7" s="1" t="s">
        <v>9</v>
      </c>
      <c r="B7" t="s">
        <v>4</v>
      </c>
      <c r="C7">
        <v>26268.218000000001</v>
      </c>
      <c r="D7">
        <v>28506.147000000001</v>
      </c>
      <c r="E7">
        <f t="shared" si="0"/>
        <v>0.92149310813558916</v>
      </c>
      <c r="F7">
        <f t="shared" si="1"/>
        <v>7.8506891864410839</v>
      </c>
      <c r="G7">
        <f t="shared" si="2"/>
        <v>26.268218000000001</v>
      </c>
    </row>
    <row r="8" spans="1:7" x14ac:dyDescent="0.25">
      <c r="A8" s="1" t="s">
        <v>10</v>
      </c>
      <c r="B8" t="s">
        <v>4</v>
      </c>
      <c r="C8">
        <v>30430</v>
      </c>
      <c r="D8">
        <v>30430</v>
      </c>
      <c r="E8">
        <f t="shared" si="0"/>
        <v>1</v>
      </c>
      <c r="F8">
        <f t="shared" si="1"/>
        <v>0</v>
      </c>
      <c r="G8">
        <f t="shared" si="2"/>
        <v>30.43</v>
      </c>
    </row>
    <row r="9" spans="1:7" x14ac:dyDescent="0.25">
      <c r="A9" s="1" t="s">
        <v>11</v>
      </c>
      <c r="B9" t="s">
        <v>4</v>
      </c>
      <c r="C9">
        <v>166497.64000000001</v>
      </c>
      <c r="D9">
        <v>179069.22</v>
      </c>
      <c r="E9">
        <f t="shared" si="0"/>
        <v>0.92979485810012474</v>
      </c>
      <c r="F9">
        <f t="shared" si="1"/>
        <v>7.0205141899875256</v>
      </c>
      <c r="G9">
        <f t="shared" si="2"/>
        <v>166.49764000000002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9</v>
      </c>
      <c r="B2">
        <v>52536.434999999998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"/>
  <sheetViews>
    <sheetView workbookViewId="0"/>
  </sheetViews>
  <sheetFormatPr baseColWidth="10" defaultColWidth="9.140625" defaultRowHeight="15" x14ac:dyDescent="0.25"/>
  <sheetData>
    <row r="1" spans="1:2" x14ac:dyDescent="0.25">
      <c r="B1" s="1" t="s">
        <v>2</v>
      </c>
    </row>
    <row r="2" spans="1:2" x14ac:dyDescent="0.25">
      <c r="A2" s="1" t="s">
        <v>10</v>
      </c>
      <c r="B2">
        <v>304300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9"/>
  <sheetViews>
    <sheetView workbookViewId="0"/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12</v>
      </c>
    </row>
    <row r="2" spans="1:2" x14ac:dyDescent="0.25">
      <c r="A2" s="1" t="s">
        <v>3</v>
      </c>
      <c r="B2">
        <v>19245251727.00602</v>
      </c>
    </row>
    <row r="3" spans="1:2" x14ac:dyDescent="0.25">
      <c r="A3" s="1" t="s">
        <v>5</v>
      </c>
      <c r="B3">
        <v>39148625050.454964</v>
      </c>
    </row>
    <row r="4" spans="1:2" x14ac:dyDescent="0.25">
      <c r="A4" s="1" t="s">
        <v>6</v>
      </c>
      <c r="B4">
        <v>0</v>
      </c>
    </row>
    <row r="5" spans="1:2" x14ac:dyDescent="0.25">
      <c r="A5" s="1" t="s">
        <v>7</v>
      </c>
      <c r="B5">
        <v>765444352.21697116</v>
      </c>
    </row>
    <row r="6" spans="1:2" x14ac:dyDescent="0.25">
      <c r="A6" s="1" t="s">
        <v>8</v>
      </c>
      <c r="B6">
        <v>0</v>
      </c>
    </row>
    <row r="7" spans="1:2" x14ac:dyDescent="0.25">
      <c r="A7" s="1" t="s">
        <v>9</v>
      </c>
      <c r="B7">
        <v>547026824.59423888</v>
      </c>
    </row>
    <row r="8" spans="1:2" x14ac:dyDescent="0.25">
      <c r="A8" s="1" t="s">
        <v>10</v>
      </c>
      <c r="B8">
        <v>1235733362.2190781</v>
      </c>
    </row>
    <row r="9" spans="1:2" x14ac:dyDescent="0.25">
      <c r="A9" s="1" t="s">
        <v>11</v>
      </c>
      <c r="B9">
        <v>24990256708.86927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inst_leistung</vt:lpstr>
      <vt:lpstr>batterie_kapazitaet</vt:lpstr>
      <vt:lpstr>pump_kapazitaet</vt:lpstr>
      <vt:lpstr>Kosten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ms119227</cp:lastModifiedBy>
  <dcterms:created xsi:type="dcterms:W3CDTF">2026-01-03T11:42:51Z</dcterms:created>
  <dcterms:modified xsi:type="dcterms:W3CDTF">2026-01-03T12:02:21Z</dcterms:modified>
</cp:coreProperties>
</file>