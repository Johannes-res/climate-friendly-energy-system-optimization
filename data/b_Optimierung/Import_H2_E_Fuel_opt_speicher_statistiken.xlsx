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A6220438-0D75-479A-BC34-03DFFD17701E}" xr6:coauthVersionLast="47" xr6:coauthVersionMax="47" xr10:uidLastSave="{00000000-0000-0000-0000-000000000000}"/>
  <bookViews>
    <workbookView xWindow="-28800" yWindow="0" windowWidth="14400" windowHeight="15750" xr2:uid="{00000000-000D-0000-FFFF-FFFF00000000}"/>
  </bookViews>
  <sheets>
    <sheet name="Speicher_Statistik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6" i="1"/>
  <c r="E7" i="1"/>
  <c r="E8" i="1"/>
  <c r="E6" i="1"/>
  <c r="C7" i="1"/>
  <c r="C8" i="1"/>
  <c r="C6" i="1"/>
</calcChain>
</file>

<file path=xl/sharedStrings.xml><?xml version="1.0" encoding="utf-8"?>
<sst xmlns="http://schemas.openxmlformats.org/spreadsheetml/2006/main" count="13" uniqueCount="13">
  <si>
    <t>Speicher</t>
  </si>
  <si>
    <t>Zeitschritte</t>
  </si>
  <si>
    <t>Kapazität [MWh]</t>
  </si>
  <si>
    <t>Max SOC [MWh]</t>
  </si>
  <si>
    <t>Min SOC [MWh]</t>
  </si>
  <si>
    <t>Durchschn. SOC [MWh]</t>
  </si>
  <si>
    <t>Max Entladung [MW]</t>
  </si>
  <si>
    <t>Max Ladung [MW]</t>
  </si>
  <si>
    <t>Gesamte Entladung [MWh]</t>
  </si>
  <si>
    <t>Gesamte Ladung [MWh]</t>
  </si>
  <si>
    <t>Batteriespeicher_Batterie</t>
  </si>
  <si>
    <t>Pumpspeicher_Pump</t>
  </si>
  <si>
    <t>Wasserstoffkaverne_H2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</si>
</sst>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F11" sqref="F1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35036</v>
      </c>
      <c r="C2">
        <v>33397.519999999997</v>
      </c>
      <c r="D2">
        <v>33397.519999999997</v>
      </c>
      <c r="E2">
        <v>0</v>
      </c>
      <c r="F2">
        <v>1755.797626011537</v>
      </c>
      <c r="G2">
        <v>16698.759999999998</v>
      </c>
      <c r="H2">
        <v>-16698.759999999998</v>
      </c>
      <c r="I2">
        <v>16143164.46550652</v>
      </c>
      <c r="J2">
        <v>16138989.773743769</v>
      </c>
    </row>
    <row r="3" spans="1:10" x14ac:dyDescent="0.25">
      <c r="A3" t="s">
        <v>11</v>
      </c>
      <c r="B3">
        <v>8759</v>
      </c>
      <c r="C3">
        <v>182563.82</v>
      </c>
      <c r="D3">
        <v>182563.82</v>
      </c>
      <c r="E3">
        <v>-2.5659119E-11</v>
      </c>
      <c r="F3">
        <v>41740.919405154702</v>
      </c>
      <c r="G3">
        <v>18256.382000000001</v>
      </c>
      <c r="H3">
        <v>-18256.382000000001</v>
      </c>
      <c r="I3">
        <v>13323654.87837535</v>
      </c>
      <c r="J3">
        <v>13322742.0432724</v>
      </c>
    </row>
    <row r="4" spans="1:10" x14ac:dyDescent="0.25">
      <c r="A4" t="s">
        <v>12</v>
      </c>
      <c r="B4">
        <v>8759</v>
      </c>
      <c r="C4">
        <v>41825857</v>
      </c>
      <c r="D4">
        <v>26671377</v>
      </c>
      <c r="E4">
        <v>0</v>
      </c>
      <c r="F4">
        <v>14475742.63456529</v>
      </c>
      <c r="G4">
        <v>139020.65</v>
      </c>
      <c r="H4">
        <v>-139020.65</v>
      </c>
      <c r="I4">
        <v>63394616.801602751</v>
      </c>
      <c r="J4">
        <v>63407657.731850997</v>
      </c>
    </row>
    <row r="6" spans="1:10" x14ac:dyDescent="0.25">
      <c r="C6">
        <f>C2/1000</f>
        <v>33.39752</v>
      </c>
      <c r="D6">
        <v>57</v>
      </c>
      <c r="E6">
        <f>C6/D6</f>
        <v>0.58592140350877198</v>
      </c>
      <c r="F6">
        <f>1-E6</f>
        <v>0.41407859649122802</v>
      </c>
    </row>
    <row r="7" spans="1:10" x14ac:dyDescent="0.25">
      <c r="C7">
        <f t="shared" ref="C7:C8" si="0">C3/1000</f>
        <v>182.56382000000002</v>
      </c>
      <c r="D7">
        <v>304.3</v>
      </c>
      <c r="E7">
        <f t="shared" ref="E7:E8" si="1">C7/D7</f>
        <v>0.59994682878738093</v>
      </c>
      <c r="F7">
        <f t="shared" ref="F7:F8" si="2">1-E7</f>
        <v>0.40005317121261907</v>
      </c>
    </row>
    <row r="8" spans="1:10" x14ac:dyDescent="0.25">
      <c r="C8">
        <f t="shared" si="0"/>
        <v>41825.857000000004</v>
      </c>
      <c r="D8">
        <v>49457.4</v>
      </c>
      <c r="E8">
        <f t="shared" si="1"/>
        <v>0.84569461799447609</v>
      </c>
      <c r="F8">
        <f t="shared" si="2"/>
        <v>0.15430538200552391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Speicher_Statistiken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2026-01-05T10:56:00Z</dcterms:created>
  <dcterms:modified xsi:type="dcterms:W3CDTF">2026-01-05T11:15:39Z</dcterms:modified>
</cp:coreProperties>
</file>