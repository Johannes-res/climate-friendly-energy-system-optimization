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76E9B859-66A1-4267-AE4A-E2163AB22DF7}" xr6:coauthVersionLast="47" xr6:coauthVersionMax="47" xr10:uidLastSave="{00000000-0000-0000-0000-000000000000}"/>
  <bookViews>
    <workbookView xWindow="-28800" yWindow="1170" windowWidth="28800" windowHeight="11025" xr2:uid="{00000000-000D-0000-FFFF-FFFF00000000}"/>
  </bookViews>
  <sheets>
    <sheet name="Speicher_Statistik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6" i="1"/>
  <c r="C7" i="1"/>
  <c r="C8" i="1"/>
  <c r="C6" i="1"/>
</calcChain>
</file>

<file path=xl/sharedStrings.xml><?xml version="1.0" encoding="utf-8"?>
<sst xmlns="http://schemas.openxmlformats.org/spreadsheetml/2006/main" count="13" uniqueCount="13">
  <si>
    <t>Speicher</t>
  </si>
  <si>
    <t>Zeitschritte</t>
  </si>
  <si>
    <t>Kapazität [MWh]</t>
  </si>
  <si>
    <t>Max SOC [MWh]</t>
  </si>
  <si>
    <t>Min SOC [MWh]</t>
  </si>
  <si>
    <t>Durchschn. SOC [MWh]</t>
  </si>
  <si>
    <t>Max Entladung [MW]</t>
  </si>
  <si>
    <t>Max Ladung [MW]</t>
  </si>
  <si>
    <t>Gesamte Entladung [MWh]</t>
  </si>
  <si>
    <t>Gesamte Ladung [MWh]</t>
  </si>
  <si>
    <t>Batteriespeicher_Batterie</t>
  </si>
  <si>
    <t>Pumpspeicher_Pump</t>
  </si>
  <si>
    <t>Wasserstoffkaverne_H2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</si>
</sst>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6" sqref="D6:D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35036</v>
      </c>
      <c r="C2">
        <v>189257.99</v>
      </c>
      <c r="D2">
        <v>189257.99</v>
      </c>
      <c r="E2">
        <v>-2.5084169999999999E-13</v>
      </c>
      <c r="F2">
        <v>16405.62628363564</v>
      </c>
      <c r="G2">
        <v>94628.995999999999</v>
      </c>
      <c r="H2">
        <v>-94628.995999999999</v>
      </c>
      <c r="I2">
        <v>53797027.083409622</v>
      </c>
      <c r="J2">
        <v>53773369.841803461</v>
      </c>
    </row>
    <row r="3" spans="1:10" x14ac:dyDescent="0.25">
      <c r="A3" t="s">
        <v>11</v>
      </c>
      <c r="B3">
        <v>8759</v>
      </c>
      <c r="C3">
        <v>304300</v>
      </c>
      <c r="D3">
        <v>304300</v>
      </c>
      <c r="E3">
        <v>-3.2549828999999998E-11</v>
      </c>
      <c r="F3">
        <v>91187.185905752936</v>
      </c>
      <c r="G3">
        <v>30430</v>
      </c>
      <c r="H3">
        <v>-30430</v>
      </c>
      <c r="I3">
        <v>23325291.168967001</v>
      </c>
      <c r="J3">
        <v>23317683.668108501</v>
      </c>
    </row>
    <row r="4" spans="1:10" x14ac:dyDescent="0.25">
      <c r="A4" t="s">
        <v>12</v>
      </c>
      <c r="B4">
        <v>8759</v>
      </c>
      <c r="C4">
        <v>66623764</v>
      </c>
      <c r="D4">
        <v>66623764</v>
      </c>
      <c r="E4">
        <v>23162909</v>
      </c>
      <c r="F4">
        <v>47579283.910606243</v>
      </c>
      <c r="G4">
        <v>158725.23000000001</v>
      </c>
      <c r="H4">
        <v>-158725.23000000001</v>
      </c>
      <c r="I4">
        <v>91780430.116071999</v>
      </c>
      <c r="J4">
        <v>91777909.758960992</v>
      </c>
    </row>
    <row r="6" spans="1:10" x14ac:dyDescent="0.25">
      <c r="B6">
        <v>57</v>
      </c>
      <c r="C6">
        <f>C2/1000</f>
        <v>189.25798999999998</v>
      </c>
      <c r="D6">
        <f>C6/B6*100-100</f>
        <v>232.0315614035087</v>
      </c>
    </row>
    <row r="7" spans="1:10" x14ac:dyDescent="0.25">
      <c r="B7">
        <v>304.3</v>
      </c>
      <c r="C7">
        <f t="shared" ref="C7:C8" si="0">C3/1000</f>
        <v>304.3</v>
      </c>
      <c r="D7">
        <f t="shared" ref="D7:D8" si="1">C7/B7*100-100</f>
        <v>0</v>
      </c>
    </row>
    <row r="8" spans="1:10" x14ac:dyDescent="0.25">
      <c r="B8" s="2">
        <v>49457.4</v>
      </c>
      <c r="C8">
        <f t="shared" si="0"/>
        <v>66623.763999999996</v>
      </c>
      <c r="D8">
        <f t="shared" si="1"/>
        <v>34.709394347458613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Speicher_Statistiken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2026-01-06T11:25:46Z</dcterms:created>
  <dcterms:modified xsi:type="dcterms:W3CDTF">2026-01-06T15:29:46Z</dcterms:modified>
</cp:coreProperties>
</file>