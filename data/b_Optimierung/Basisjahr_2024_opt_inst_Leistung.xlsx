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0DC6BCE8-54CA-413A-A3B8-64260DAA1E93}" xr6:coauthVersionLast="47" xr6:coauthVersionMax="47" xr10:uidLastSave="{00000000-0000-0000-0000-000000000000}"/>
  <bookViews>
    <workbookView xWindow="-28800" yWindow="1170" windowWidth="28800" windowHeight="11025" xr2:uid="{00000000-000D-0000-FFFF-FFFF00000000}"/>
  </bookViews>
  <sheets>
    <sheet name="inst_leistung" sheetId="1" r:id="rId1"/>
    <sheet name="batterie_kapazitaet" sheetId="2" r:id="rId2"/>
    <sheet name="pump_kapazitaet" sheetId="3" r:id="rId3"/>
    <sheet name="Kost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2" i="1"/>
  <c r="F3" i="1"/>
  <c r="F4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<sst xmlns="http://schemas.openxmlformats.org/spreadsheetml/2006/main" count="33" uniqueCount="13">
  <si>
    <t>Technologie</t>
  </si>
  <si>
    <t>Träger</t>
  </si>
  <si>
    <t>Wert</t>
  </si>
  <si>
    <t>Fotovoltaik</t>
  </si>
  <si>
    <t>Strom</t>
  </si>
  <si>
    <t>Wind_Onshore</t>
  </si>
  <si>
    <t>Wind_Offshore</t>
  </si>
  <si>
    <t>Laufwasser</t>
  </si>
  <si>
    <t>Andere</t>
  </si>
  <si>
    <t>Batteriespeicher</t>
  </si>
  <si>
    <t>Pumpspeicher</t>
  </si>
  <si>
    <t>Wasserstoffkaverne</t>
  </si>
  <si>
    <t>Annualisierte CAPEX [EUR/Jahr]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</si>
</sst>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O10" sqref="O10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1" t="s">
        <v>3</v>
      </c>
      <c r="B2" t="s">
        <v>4</v>
      </c>
      <c r="C2">
        <v>377302.2</v>
      </c>
      <c r="D2">
        <f>C2/1000</f>
        <v>377.30220000000003</v>
      </c>
      <c r="E2" s="2">
        <v>394.06</v>
      </c>
      <c r="F2">
        <f t="shared" ref="F2:F3" si="0">D2/E2*100-100</f>
        <v>-4.2526011267319603</v>
      </c>
    </row>
    <row r="3" spans="1:6" x14ac:dyDescent="0.25">
      <c r="A3" s="1" t="s">
        <v>5</v>
      </c>
      <c r="B3" t="s">
        <v>4</v>
      </c>
      <c r="C3">
        <v>365900</v>
      </c>
      <c r="D3">
        <f t="shared" ref="D3:D9" si="1">C3/1000</f>
        <v>365.9</v>
      </c>
      <c r="E3" s="2">
        <v>365.9</v>
      </c>
      <c r="F3">
        <f t="shared" si="0"/>
        <v>0</v>
      </c>
    </row>
    <row r="4" spans="1:6" x14ac:dyDescent="0.25">
      <c r="A4" s="1" t="s">
        <v>6</v>
      </c>
      <c r="B4" t="s">
        <v>4</v>
      </c>
      <c r="C4">
        <v>15548.796</v>
      </c>
      <c r="D4">
        <f t="shared" si="1"/>
        <v>15.548795999999999</v>
      </c>
      <c r="E4" s="2">
        <v>9.9600000000000009</v>
      </c>
      <c r="F4">
        <f>D4/E4*100-100</f>
        <v>56.112409638554197</v>
      </c>
    </row>
    <row r="5" spans="1:6" x14ac:dyDescent="0.25">
      <c r="A5" s="1" t="s">
        <v>7</v>
      </c>
      <c r="B5" t="s">
        <v>4</v>
      </c>
      <c r="C5">
        <v>9439</v>
      </c>
      <c r="D5">
        <f t="shared" si="1"/>
        <v>9.4390000000000001</v>
      </c>
      <c r="E5" s="2">
        <v>9.44</v>
      </c>
      <c r="F5">
        <f t="shared" ref="F5:F9" si="2">D5/E5*100-100</f>
        <v>-1.0593220338975584E-2</v>
      </c>
    </row>
    <row r="6" spans="1:6" x14ac:dyDescent="0.25">
      <c r="A6" s="1" t="s">
        <v>8</v>
      </c>
      <c r="B6" t="s">
        <v>4</v>
      </c>
      <c r="C6">
        <v>0</v>
      </c>
      <c r="D6">
        <f t="shared" si="1"/>
        <v>0</v>
      </c>
      <c r="F6" t="e">
        <f t="shared" si="2"/>
        <v>#DIV/0!</v>
      </c>
    </row>
    <row r="7" spans="1:6" x14ac:dyDescent="0.25">
      <c r="A7" s="1" t="s">
        <v>9</v>
      </c>
      <c r="B7" t="s">
        <v>4</v>
      </c>
      <c r="C7">
        <v>25187.923999999999</v>
      </c>
      <c r="D7">
        <f t="shared" si="1"/>
        <v>25.187923999999999</v>
      </c>
      <c r="E7" s="2">
        <v>28.51</v>
      </c>
      <c r="F7">
        <f t="shared" si="2"/>
        <v>-11.65231848474221</v>
      </c>
    </row>
    <row r="8" spans="1:6" x14ac:dyDescent="0.25">
      <c r="A8" s="1" t="s">
        <v>10</v>
      </c>
      <c r="B8" t="s">
        <v>4</v>
      </c>
      <c r="C8">
        <v>30430</v>
      </c>
      <c r="D8">
        <f t="shared" si="1"/>
        <v>30.43</v>
      </c>
      <c r="E8" s="2">
        <v>30.43</v>
      </c>
      <c r="F8">
        <f t="shared" si="2"/>
        <v>0</v>
      </c>
    </row>
    <row r="9" spans="1:6" ht="15.75" thickBot="1" x14ac:dyDescent="0.3">
      <c r="A9" s="1" t="s">
        <v>11</v>
      </c>
      <c r="B9" t="s">
        <v>4</v>
      </c>
      <c r="C9">
        <v>174473.95</v>
      </c>
      <c r="D9">
        <f t="shared" si="1"/>
        <v>174.47395</v>
      </c>
      <c r="E9" s="3">
        <v>179.07</v>
      </c>
      <c r="F9">
        <f t="shared" si="2"/>
        <v>-2.5666219914000123</v>
      </c>
    </row>
  </sheetData>
  <pageMargins left="0.75" right="0.75" top="1" bottom="1" header="0.5" footer="0.5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9</v>
      </c>
      <c r="B2">
        <v>50375.847999999998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10</v>
      </c>
      <c r="B2">
        <v>304300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</v>
      </c>
    </row>
    <row r="2" spans="1:2" x14ac:dyDescent="0.25">
      <c r="A2" s="1" t="s">
        <v>3</v>
      </c>
      <c r="B2">
        <v>19837391064.640862</v>
      </c>
    </row>
    <row r="3" spans="1:2" x14ac:dyDescent="0.25">
      <c r="A3" s="1" t="s">
        <v>5</v>
      </c>
      <c r="B3">
        <v>39148625050.454964</v>
      </c>
    </row>
    <row r="4" spans="1:2" x14ac:dyDescent="0.25">
      <c r="A4" s="1" t="s">
        <v>6</v>
      </c>
      <c r="B4">
        <v>1405726317.934567</v>
      </c>
    </row>
    <row r="5" spans="1:2" x14ac:dyDescent="0.25">
      <c r="A5" s="1" t="s">
        <v>7</v>
      </c>
      <c r="B5">
        <v>765444352.21697116</v>
      </c>
    </row>
    <row r="6" spans="1:2" x14ac:dyDescent="0.25">
      <c r="A6" s="1" t="s">
        <v>8</v>
      </c>
      <c r="B6">
        <v>0</v>
      </c>
    </row>
    <row r="7" spans="1:2" x14ac:dyDescent="0.25">
      <c r="A7" s="1" t="s">
        <v>9</v>
      </c>
      <c r="B7">
        <v>523453158.66999131</v>
      </c>
    </row>
    <row r="8" spans="1:2" x14ac:dyDescent="0.25">
      <c r="A8" s="1" t="s">
        <v>10</v>
      </c>
      <c r="B8">
        <v>1235733362.2190781</v>
      </c>
    </row>
    <row r="9" spans="1:2" x14ac:dyDescent="0.25">
      <c r="A9" s="1" t="s">
        <v>11</v>
      </c>
      <c r="B9">
        <v>26187451062.431999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inst_leistung</vt:lpstr>
      <vt:lpstr>batterie_kapazitaet</vt:lpstr>
      <vt:lpstr>pump_kapazitaet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2026-01-06T13:19:50Z</dcterms:created>
  <dcterms:modified xsi:type="dcterms:W3CDTF">2026-01-06T14:55:13Z</dcterms:modified>
</cp:coreProperties>
</file>