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ansisRasanterRaser\Desktop\UNI\000_DA\git\knEBiD\data\b_Optimierung\"/>
    </mc:Choice>
  </mc:AlternateContent>
  <xr:revisionPtr revIDLastSave="0" documentId="13_ncr:1_{234D02C3-8CB5-431A-B231-296E8B4DF0DC}" xr6:coauthVersionLast="47" xr6:coauthVersionMax="47" xr10:uidLastSave="{00000000-0000-0000-0000-000000000000}"/>
  <bookViews>
    <workbookView xWindow="-32595" yWindow="4260" windowWidth="28800" windowHeight="11025" xr2:uid="{00000000-000D-0000-FFFF-FFFF00000000}"/>
  </bookViews>
  <sheets>
    <sheet name="Speicher_Statistik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8" i="1"/>
  <c r="F6" i="1"/>
  <c r="E7" i="1"/>
  <c r="E8" i="1"/>
  <c r="E6" i="1"/>
  <c r="C7" i="1"/>
  <c r="C8" i="1"/>
  <c r="C6" i="1"/>
</calcChain>
</file>

<file path=xl/sharedStrings.xml><?xml version="1.0" encoding="utf-8"?>
<sst xmlns="http://schemas.openxmlformats.org/spreadsheetml/2006/main" count="13" uniqueCount="13">
  <si>
    <t>Speicher</t>
  </si>
  <si>
    <t>Zeitschritte</t>
  </si>
  <si>
    <t>Kapazität [MWh]</t>
  </si>
  <si>
    <t>Max SOC [MWh]</t>
  </si>
  <si>
    <t>Min SOC [MWh]</t>
  </si>
  <si>
    <t>Durchschn. SOC [MWh]</t>
  </si>
  <si>
    <t>Max Entladung [MW]</t>
  </si>
  <si>
    <t>Max Ladung [MW]</t>
  </si>
  <si>
    <t>Gesamte Entladung [MWh]</t>
  </si>
  <si>
    <t>Gesamte Ladung [MWh]</t>
  </si>
  <si>
    <t>Batteriespeicher_Batterie</t>
  </si>
  <si>
    <t>Pumpspeicher_Pump</t>
  </si>
  <si>
    <t>Wasserstoffkaverne_H2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</si>
</sst>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4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selection activeCell="J12" sqref="J12"/>
    </sheetView>
  </sheetViews>
  <sheetFormatPr baseColWidth="10" defaultColWidth="9.140625"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">
        <v>10</v>
      </c>
      <c r="B2">
        <v>35036</v>
      </c>
      <c r="C2">
        <v>52536.434999999998</v>
      </c>
      <c r="D2">
        <v>52536.434999999998</v>
      </c>
      <c r="E2">
        <v>-1.0136357999999999E-26</v>
      </c>
      <c r="F2">
        <v>3355.480509188325</v>
      </c>
      <c r="G2">
        <v>26268.218000000001</v>
      </c>
      <c r="H2">
        <v>-26268.218000000001</v>
      </c>
      <c r="I2">
        <v>23935897.462066781</v>
      </c>
      <c r="J2">
        <v>23929330.404624511</v>
      </c>
    </row>
    <row r="3" spans="1:10" x14ac:dyDescent="0.25">
      <c r="A3" t="s">
        <v>11</v>
      </c>
      <c r="B3">
        <v>8759</v>
      </c>
      <c r="C3">
        <v>304300</v>
      </c>
      <c r="D3">
        <v>304300</v>
      </c>
      <c r="E3">
        <v>-5.0737944E-11</v>
      </c>
      <c r="F3">
        <v>70728.385205343875</v>
      </c>
      <c r="G3">
        <v>30430</v>
      </c>
      <c r="H3">
        <v>-30430</v>
      </c>
      <c r="I3">
        <v>22658191.3210635</v>
      </c>
      <c r="J3">
        <v>22656669.822786249</v>
      </c>
    </row>
    <row r="4" spans="1:10" x14ac:dyDescent="0.25">
      <c r="A4" t="s">
        <v>12</v>
      </c>
      <c r="B4">
        <v>8759</v>
      </c>
      <c r="C4">
        <v>39469457</v>
      </c>
      <c r="D4">
        <v>26468228</v>
      </c>
      <c r="E4">
        <v>0</v>
      </c>
      <c r="F4">
        <v>13538181.252956521</v>
      </c>
      <c r="G4">
        <v>166497.64000000001</v>
      </c>
      <c r="H4">
        <v>-166497.64000000001</v>
      </c>
      <c r="I4">
        <v>87112709.332934737</v>
      </c>
      <c r="J4">
        <v>87126832.047599256</v>
      </c>
    </row>
    <row r="6" spans="1:10" x14ac:dyDescent="0.25">
      <c r="C6">
        <f>C2/1000</f>
        <v>52.536434999999997</v>
      </c>
      <c r="D6">
        <v>57</v>
      </c>
      <c r="E6">
        <f>C6/D6</f>
        <v>0.92169184210526311</v>
      </c>
      <c r="F6">
        <f>(1-E6)*100</f>
        <v>7.8308157894736885</v>
      </c>
    </row>
    <row r="7" spans="1:10" x14ac:dyDescent="0.25">
      <c r="C7">
        <f t="shared" ref="C7:C8" si="0">C3/1000</f>
        <v>304.3</v>
      </c>
      <c r="D7">
        <v>304.3</v>
      </c>
      <c r="E7">
        <f t="shared" ref="E7:E9" si="1">C7/D7</f>
        <v>1</v>
      </c>
      <c r="F7">
        <f t="shared" ref="F7:F8" si="2">(1-E7)*100</f>
        <v>0</v>
      </c>
    </row>
    <row r="8" spans="1:10" x14ac:dyDescent="0.25">
      <c r="C8">
        <f t="shared" si="0"/>
        <v>39469.457000000002</v>
      </c>
      <c r="D8" s="2">
        <v>49457.4</v>
      </c>
      <c r="E8">
        <f t="shared" si="1"/>
        <v>0.79804957397679621</v>
      </c>
      <c r="F8">
        <f t="shared" si="2"/>
        <v>20.195042602320378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Speicher_Statistiken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ms119227</cp:lastModifiedBy>
  <dcterms:created xsi:type="dcterms:W3CDTF">2026-01-03T11:43:00Z</dcterms:created>
  <dcterms:modified xsi:type="dcterms:W3CDTF">2026-01-03T12:09:31Z</dcterms:modified>
</cp:coreProperties>
</file>