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C92DD3DA-8D46-4F4D-8965-E766B436E047}" xr6:coauthVersionLast="47" xr6:coauthVersionMax="47" xr10:uidLastSave="{00000000-0000-0000-0000-000000000000}"/>
  <bookViews>
    <workbookView xWindow="-28800" yWindow="1170" windowWidth="28800" windowHeight="11025" xr2:uid="{00000000-000D-0000-FFFF-FFFF00000000}"/>
  </bookViews>
  <sheets>
    <sheet name="Speicher_Statistik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1" l="1"/>
  <c r="D8" i="1"/>
  <c r="D6" i="1"/>
  <c r="C7" i="1"/>
  <c r="C8" i="1"/>
  <c r="C6" i="1"/>
</calcChain>
</file>

<file path=xl/sharedStrings.xml><?xml version="1.0" encoding="utf-8"?>
<sst xmlns="http://schemas.openxmlformats.org/spreadsheetml/2006/main" count="13" uniqueCount="13">
  <si>
    <t>Speicher</t>
  </si>
  <si>
    <t>Zeitschritte</t>
  </si>
  <si>
    <t>Kapazität [MWh]</t>
  </si>
  <si>
    <t>Max SOC [MWh]</t>
  </si>
  <si>
    <t>Min SOC [MWh]</t>
  </si>
  <si>
    <t>Durchschn. SOC [MWh]</t>
  </si>
  <si>
    <t>Max Entladung [MW]</t>
  </si>
  <si>
    <t>Max Ladung [MW]</t>
  </si>
  <si>
    <t>Gesamte Entladung [MWh]</t>
  </si>
  <si>
    <t>Gesamte Ladung [MWh]</t>
  </si>
  <si>
    <t>Batteriespeicher_Batterie</t>
  </si>
  <si>
    <t>Pumpspeicher_Pump</t>
  </si>
  <si>
    <t>Wasserstoffkaverne_H2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</si>
</sst>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>
      <selection activeCell="D6" sqref="D6:D8"/>
    </sheetView>
  </sheetViews>
  <sheetFormatPr baseColWidth="10" defaultColWidth="9.140625"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35132</v>
      </c>
      <c r="C2">
        <v>50375.847999999998</v>
      </c>
      <c r="D2">
        <v>50375.847999999998</v>
      </c>
      <c r="E2">
        <v>-1.7475960000000001E-8</v>
      </c>
      <c r="F2">
        <v>4178.2256514400333</v>
      </c>
      <c r="G2">
        <v>25187.923999999999</v>
      </c>
      <c r="H2">
        <v>-25187.923999999999</v>
      </c>
      <c r="I2">
        <v>26850521.491992</v>
      </c>
      <c r="J2">
        <v>26844224.513661861</v>
      </c>
    </row>
    <row r="3" spans="1:10" x14ac:dyDescent="0.25">
      <c r="A3" t="s">
        <v>11</v>
      </c>
      <c r="B3">
        <v>8783</v>
      </c>
      <c r="C3">
        <v>304300</v>
      </c>
      <c r="D3">
        <v>304300</v>
      </c>
      <c r="E3">
        <v>-1.9203210000000001E-11</v>
      </c>
      <c r="F3">
        <v>73902.794135596036</v>
      </c>
      <c r="G3">
        <v>30430</v>
      </c>
      <c r="H3">
        <v>-30430</v>
      </c>
      <c r="I3">
        <v>22587542.699109249</v>
      </c>
      <c r="J3">
        <v>22579935.199404251</v>
      </c>
    </row>
    <row r="4" spans="1:10" x14ac:dyDescent="0.25">
      <c r="A4" t="s">
        <v>12</v>
      </c>
      <c r="B4">
        <v>8783</v>
      </c>
      <c r="C4">
        <v>56333771</v>
      </c>
      <c r="D4">
        <v>56333771</v>
      </c>
      <c r="E4">
        <v>20242681</v>
      </c>
      <c r="F4">
        <v>38737534.32016395</v>
      </c>
      <c r="G4">
        <v>174473.95</v>
      </c>
      <c r="H4">
        <v>-174473.95</v>
      </c>
      <c r="I4">
        <v>88598214.411312491</v>
      </c>
      <c r="J4">
        <v>88621547.000736058</v>
      </c>
    </row>
    <row r="6" spans="1:10" x14ac:dyDescent="0.25">
      <c r="B6">
        <v>57</v>
      </c>
      <c r="C6">
        <f>C2/1000</f>
        <v>50.375847999999998</v>
      </c>
      <c r="D6">
        <f>C6/B6*100-100</f>
        <v>-11.621319298245609</v>
      </c>
    </row>
    <row r="7" spans="1:10" x14ac:dyDescent="0.25">
      <c r="B7">
        <v>304.3</v>
      </c>
      <c r="C7">
        <f t="shared" ref="C7:C8" si="0">C3/1000</f>
        <v>304.3</v>
      </c>
      <c r="D7">
        <f t="shared" ref="D7:D8" si="1">C7/B7*100-100</f>
        <v>0</v>
      </c>
    </row>
    <row r="8" spans="1:10" x14ac:dyDescent="0.25">
      <c r="B8" s="2">
        <v>49457.4</v>
      </c>
      <c r="C8">
        <f t="shared" si="0"/>
        <v>56333.771000000001</v>
      </c>
      <c r="D8">
        <f t="shared" si="1"/>
        <v>13.903624129048438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Speicher_Statistiken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2026-01-06T13:19:59Z</dcterms:created>
  <dcterms:modified xsi:type="dcterms:W3CDTF">2026-01-06T16:00:48Z</dcterms:modified>
</cp:coreProperties>
</file>