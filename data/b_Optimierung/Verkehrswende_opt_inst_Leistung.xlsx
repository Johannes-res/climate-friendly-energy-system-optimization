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61449337-5FCC-4FD6-B181-EE3E79D1FF50}" xr6:coauthVersionLast="47" xr6:coauthVersionMax="47" xr10:uidLastSave="{00000000-0000-0000-0000-000000000000}"/>
  <bookViews>
    <workbookView xWindow="-14400" yWindow="0" windowWidth="14400" windowHeight="15750" xr2:uid="{00000000-000D-0000-FFFF-FFFF00000000}"/>
  </bookViews>
  <sheets>
    <sheet name="inst_leistung" sheetId="1" r:id="rId1"/>
    <sheet name="batterie_kapazitaet" sheetId="2" r:id="rId2"/>
    <sheet name="pump_kapazitaet" sheetId="3" r:id="rId3"/>
    <sheet name="Kost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<sst xmlns="http://schemas.openxmlformats.org/spreadsheetml/2006/main" count="33" uniqueCount="13">
  <si>
    <t>Technologie</t>
  </si>
  <si>
    <t>Träger</t>
  </si>
  <si>
    <t>Wert</t>
  </si>
  <si>
    <t>Fotovoltaik</t>
  </si>
  <si>
    <t>Strom</t>
  </si>
  <si>
    <t>Wind_Onshore</t>
  </si>
  <si>
    <t>Wind_Offshore</t>
  </si>
  <si>
    <t>Laufwasser</t>
  </si>
  <si>
    <t>Andere</t>
  </si>
  <si>
    <t>Batteriespeicher</t>
  </si>
  <si>
    <t>Pumpspeicher</t>
  </si>
  <si>
    <t>Wasserstoffkaverne</t>
  </si>
  <si>
    <t>Annualisierte CAPEX [EUR/Jahr]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</si>
</sst>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7" sqref="F17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</row>
    <row r="2" spans="1:7" x14ac:dyDescent="0.25">
      <c r="A2" s="1" t="s">
        <v>3</v>
      </c>
      <c r="B2" t="s">
        <v>4</v>
      </c>
      <c r="C2">
        <v>334046.78999999998</v>
      </c>
      <c r="D2">
        <v>394058.44</v>
      </c>
      <c r="E2">
        <f>C2/D2</f>
        <v>0.8477087560921166</v>
      </c>
      <c r="F2">
        <f>1-E2</f>
        <v>0.1522912439078834</v>
      </c>
      <c r="G2">
        <f>F2*100</f>
        <v>15.229124390788339</v>
      </c>
    </row>
    <row r="3" spans="1:7" x14ac:dyDescent="0.25">
      <c r="A3" s="1" t="s">
        <v>5</v>
      </c>
      <c r="B3" t="s">
        <v>4</v>
      </c>
      <c r="C3">
        <v>365900</v>
      </c>
      <c r="D3">
        <v>365900</v>
      </c>
      <c r="E3">
        <f t="shared" ref="E3:E9" si="0">C3/D3</f>
        <v>1</v>
      </c>
      <c r="F3">
        <f t="shared" ref="F3:F9" si="1">1-E3</f>
        <v>0</v>
      </c>
      <c r="G3">
        <f t="shared" ref="G3:G9" si="2">F3*100</f>
        <v>0</v>
      </c>
    </row>
    <row r="4" spans="1:7" x14ac:dyDescent="0.25">
      <c r="A4" s="1" t="s">
        <v>6</v>
      </c>
      <c r="B4" t="s">
        <v>4</v>
      </c>
      <c r="C4">
        <v>8473</v>
      </c>
      <c r="D4">
        <v>9956.4418999999998</v>
      </c>
      <c r="E4">
        <f t="shared" si="0"/>
        <v>0.85100682403419636</v>
      </c>
      <c r="F4">
        <f t="shared" si="1"/>
        <v>0.14899317596580364</v>
      </c>
      <c r="G4">
        <f t="shared" si="2"/>
        <v>14.899317596580364</v>
      </c>
    </row>
    <row r="5" spans="1:7" x14ac:dyDescent="0.25">
      <c r="A5" s="1" t="s">
        <v>7</v>
      </c>
      <c r="B5" t="s">
        <v>4</v>
      </c>
      <c r="C5">
        <v>9439</v>
      </c>
      <c r="D5">
        <v>9439</v>
      </c>
      <c r="E5">
        <f t="shared" si="0"/>
        <v>1</v>
      </c>
      <c r="F5">
        <f t="shared" si="1"/>
        <v>0</v>
      </c>
      <c r="G5">
        <f t="shared" si="2"/>
        <v>0</v>
      </c>
    </row>
    <row r="6" spans="1:7" x14ac:dyDescent="0.25">
      <c r="A6" s="1" t="s">
        <v>8</v>
      </c>
      <c r="B6" t="s">
        <v>4</v>
      </c>
      <c r="C6">
        <v>0</v>
      </c>
      <c r="D6">
        <v>0</v>
      </c>
      <c r="E6" t="e">
        <f t="shared" si="0"/>
        <v>#DIV/0!</v>
      </c>
      <c r="F6" t="e">
        <f t="shared" si="1"/>
        <v>#DIV/0!</v>
      </c>
      <c r="G6" t="e">
        <f t="shared" si="2"/>
        <v>#DIV/0!</v>
      </c>
    </row>
    <row r="7" spans="1:7" x14ac:dyDescent="0.25">
      <c r="A7" s="1" t="s">
        <v>9</v>
      </c>
      <c r="B7" t="s">
        <v>4</v>
      </c>
      <c r="C7">
        <v>22430.68</v>
      </c>
      <c r="D7">
        <v>28506.147000000001</v>
      </c>
      <c r="E7">
        <f t="shared" si="0"/>
        <v>0.78687168771002269</v>
      </c>
      <c r="F7">
        <f t="shared" si="1"/>
        <v>0.21312831228997731</v>
      </c>
      <c r="G7">
        <f t="shared" si="2"/>
        <v>21.31283122899773</v>
      </c>
    </row>
    <row r="8" spans="1:7" x14ac:dyDescent="0.25">
      <c r="A8" s="1" t="s">
        <v>10</v>
      </c>
      <c r="B8" t="s">
        <v>4</v>
      </c>
      <c r="C8">
        <v>25971.35</v>
      </c>
      <c r="D8">
        <v>30430</v>
      </c>
      <c r="E8">
        <f t="shared" si="0"/>
        <v>0.85347847518895825</v>
      </c>
      <c r="F8">
        <f t="shared" si="1"/>
        <v>0.14652152481104175</v>
      </c>
      <c r="G8">
        <f t="shared" si="2"/>
        <v>14.652152481104174</v>
      </c>
    </row>
    <row r="9" spans="1:7" x14ac:dyDescent="0.25">
      <c r="A9" s="1" t="s">
        <v>11</v>
      </c>
      <c r="B9" t="s">
        <v>4</v>
      </c>
      <c r="C9">
        <v>172275.8</v>
      </c>
      <c r="D9">
        <v>179069.22</v>
      </c>
      <c r="E9">
        <f t="shared" si="0"/>
        <v>0.96206260350047867</v>
      </c>
      <c r="F9">
        <f t="shared" si="1"/>
        <v>3.7937396499521325E-2</v>
      </c>
      <c r="G9">
        <f t="shared" si="2"/>
        <v>3.7937396499521325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9</v>
      </c>
      <c r="B2">
        <v>44861.358999999997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10</v>
      </c>
      <c r="B2">
        <v>259713.5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</v>
      </c>
    </row>
    <row r="2" spans="1:2" x14ac:dyDescent="0.25">
      <c r="A2" s="1" t="s">
        <v>3</v>
      </c>
      <c r="B2">
        <v>16921767315.20447</v>
      </c>
    </row>
    <row r="3" spans="1:2" x14ac:dyDescent="0.25">
      <c r="A3" s="1" t="s">
        <v>5</v>
      </c>
      <c r="B3">
        <v>39148625050.454964</v>
      </c>
    </row>
    <row r="4" spans="1:2" x14ac:dyDescent="0.25">
      <c r="A4" s="1" t="s">
        <v>6</v>
      </c>
      <c r="B4">
        <v>0</v>
      </c>
    </row>
    <row r="5" spans="1:2" x14ac:dyDescent="0.25">
      <c r="A5" s="1" t="s">
        <v>7</v>
      </c>
      <c r="B5">
        <v>765444352.21697116</v>
      </c>
    </row>
    <row r="6" spans="1:2" x14ac:dyDescent="0.25">
      <c r="A6" s="1" t="s">
        <v>8</v>
      </c>
      <c r="B6">
        <v>0</v>
      </c>
    </row>
    <row r="7" spans="1:2" x14ac:dyDescent="0.25">
      <c r="A7" s="1" t="s">
        <v>9</v>
      </c>
      <c r="B7">
        <v>463285881.12551183</v>
      </c>
    </row>
    <row r="8" spans="1:2" x14ac:dyDescent="0.25">
      <c r="A8" s="1" t="s">
        <v>10</v>
      </c>
      <c r="B8">
        <v>1008210131.4849319</v>
      </c>
    </row>
    <row r="9" spans="1:2" x14ac:dyDescent="0.25">
      <c r="A9" s="1" t="s">
        <v>11</v>
      </c>
      <c r="B9">
        <v>25857522465.338371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inst_leistung</vt:lpstr>
      <vt:lpstr>batterie_kapazitaet</vt:lpstr>
      <vt:lpstr>pump_kapazitaet</vt:lpstr>
      <vt:lpstr>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2026-01-03T10:09:41Z</dcterms:created>
  <dcterms:modified xsi:type="dcterms:W3CDTF">2026-01-03T10:44:22Z</dcterms:modified>
</cp:coreProperties>
</file>