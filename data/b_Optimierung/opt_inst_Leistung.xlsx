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ansisRasanterRaser\Desktop\UNI\000_DA\git\knEBiD\data\b_Optimierung\"/>
    </mc:Choice>
  </mc:AlternateContent>
  <xr:revisionPtr revIDLastSave="0" documentId="13_ncr:1_{9C2FF23A-F8F4-482B-A736-015AAD5F267C}" xr6:coauthVersionLast="47" xr6:coauthVersionMax="47" xr10:uidLastSave="{00000000-0000-0000-0000-000000000000}"/>
  <bookViews>
    <workbookView xWindow="-28920" yWindow="-120" windowWidth="29040" windowHeight="15990" xr2:uid="{00000000-000D-0000-FFFF-FFFF00000000}"/>
  </bookViews>
  <sheets>
    <sheet name="inst_leistung" sheetId="1" r:id="rId1"/>
    <sheet name="batterie_kapazitaet" sheetId="2" r:id="rId2"/>
    <sheet name="pump_kapazitaet" sheetId="3" r:id="rId3"/>
    <sheet name="Koste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2" i="1"/>
  <c r="I3" i="1"/>
  <c r="I4" i="1"/>
  <c r="I5" i="1"/>
  <c r="I6" i="1"/>
  <c r="I7" i="1"/>
  <c r="I8" i="1"/>
  <c r="I9" i="1"/>
  <c r="I2" i="1"/>
  <c r="H3" i="1"/>
  <c r="H4" i="1"/>
  <c r="H5" i="1"/>
  <c r="H6" i="1"/>
  <c r="H7" i="1"/>
  <c r="H8" i="1"/>
  <c r="H9" i="1"/>
  <c r="H2" i="1"/>
  <c r="F3" i="1"/>
  <c r="F4" i="1"/>
  <c r="F5" i="1"/>
  <c r="F6" i="1"/>
  <c r="F7" i="1"/>
  <c r="F8" i="1"/>
  <c r="F9" i="1"/>
  <c r="F2" i="1"/>
  <c r="D3" i="1"/>
  <c r="D4" i="1"/>
  <c r="D5" i="1"/>
  <c r="D6" i="1"/>
  <c r="D7" i="1"/>
  <c r="D8" i="1"/>
  <c r="D9" i="1"/>
  <c r="D2" i="1"/>
</calcChain>
</file>

<file path=xl/sharedStrings.xml><?xml version="1.0" encoding="utf-8"?>
<sst xmlns="http://schemas.openxmlformats.org/spreadsheetml/2006/main" count="37" uniqueCount="17">
  <si>
    <t>Technologie</t>
  </si>
  <si>
    <t>Träger</t>
  </si>
  <si>
    <t>Wert</t>
  </si>
  <si>
    <t>Fotovoltaik</t>
  </si>
  <si>
    <t>Strom</t>
  </si>
  <si>
    <t>Wind_Onshore</t>
  </si>
  <si>
    <t>Wind_Offshore</t>
  </si>
  <si>
    <t>Laufwasser</t>
  </si>
  <si>
    <t>Andere</t>
  </si>
  <si>
    <t>Batteriespeicher</t>
  </si>
  <si>
    <t>Pumpspeicher</t>
  </si>
  <si>
    <t>Wasserstoffkaverne</t>
  </si>
  <si>
    <t>Annualisierte CAPEX [EUR/Jahr]</t>
  </si>
  <si>
    <t>obere grenze</t>
  </si>
  <si>
    <t>untere grenze</t>
  </si>
  <si>
    <t>Zuwachs in %</t>
  </si>
  <si>
    <t>Potentialausschöpfung in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</si>
</sst>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1" fillId="0" borderId="0" xfId="0" applyFont="1" applyFill="1" applyBorder="1" applyAlignment="1">
      <alignment horizontal="center" vertical="top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"/>
  <sheetViews>
    <sheetView tabSelected="1" workbookViewId="0">
      <selection activeCell="J16" sqref="J16"/>
    </sheetView>
  </sheetViews>
  <sheetFormatPr baseColWidth="10" defaultColWidth="9.140625" defaultRowHeight="15" x14ac:dyDescent="0.25"/>
  <cols>
    <col min="1" max="1" width="20.425781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E1" s="2" t="s">
        <v>13</v>
      </c>
      <c r="G1" s="3" t="s">
        <v>14</v>
      </c>
      <c r="I1" t="s">
        <v>15</v>
      </c>
      <c r="K1" t="s">
        <v>16</v>
      </c>
    </row>
    <row r="2" spans="1:11" x14ac:dyDescent="0.25">
      <c r="A2" s="1" t="s">
        <v>3</v>
      </c>
      <c r="B2" t="s">
        <v>4</v>
      </c>
      <c r="C2">
        <v>394058.44</v>
      </c>
      <c r="D2">
        <f>C2/1000</f>
        <v>394.05844000000002</v>
      </c>
      <c r="E2">
        <v>1000000</v>
      </c>
      <c r="F2">
        <f>E2/1000</f>
        <v>1000</v>
      </c>
      <c r="G2">
        <v>83000</v>
      </c>
      <c r="H2">
        <f>G2/1000</f>
        <v>83</v>
      </c>
      <c r="I2">
        <f>D2/H2*100</f>
        <v>474.76920481927715</v>
      </c>
      <c r="K2">
        <f>D2/F2*100</f>
        <v>39.405844000000002</v>
      </c>
    </row>
    <row r="3" spans="1:11" x14ac:dyDescent="0.25">
      <c r="A3" s="1" t="s">
        <v>5</v>
      </c>
      <c r="B3" t="s">
        <v>4</v>
      </c>
      <c r="C3">
        <v>365900</v>
      </c>
      <c r="D3">
        <f t="shared" ref="D3:D9" si="0">C3/1000</f>
        <v>365.9</v>
      </c>
      <c r="E3">
        <v>365900</v>
      </c>
      <c r="F3">
        <f t="shared" ref="F3:F9" si="1">E3/1000</f>
        <v>365.9</v>
      </c>
      <c r="G3">
        <v>60976</v>
      </c>
      <c r="H3">
        <f t="shared" ref="H3:H9" si="2">G3/1000</f>
        <v>60.975999999999999</v>
      </c>
      <c r="I3">
        <f t="shared" ref="I3:I9" si="3">D3/H3*100</f>
        <v>600.07215953817899</v>
      </c>
      <c r="K3">
        <f t="shared" ref="K3:K9" si="4">D3/F3*100</f>
        <v>100</v>
      </c>
    </row>
    <row r="4" spans="1:11" x14ac:dyDescent="0.25">
      <c r="A4" s="1" t="s">
        <v>6</v>
      </c>
      <c r="B4" t="s">
        <v>4</v>
      </c>
      <c r="C4">
        <v>9956.4418999999998</v>
      </c>
      <c r="D4">
        <f t="shared" si="0"/>
        <v>9.9564418999999997</v>
      </c>
      <c r="E4">
        <v>81600</v>
      </c>
      <c r="F4">
        <f t="shared" si="1"/>
        <v>81.599999999999994</v>
      </c>
      <c r="G4">
        <v>8473</v>
      </c>
      <c r="H4">
        <f t="shared" si="2"/>
        <v>8.4730000000000008</v>
      </c>
      <c r="I4">
        <f t="shared" si="3"/>
        <v>117.5078708839844</v>
      </c>
      <c r="K4">
        <f t="shared" si="4"/>
        <v>12.20152193627451</v>
      </c>
    </row>
    <row r="5" spans="1:11" x14ac:dyDescent="0.25">
      <c r="A5" s="1" t="s">
        <v>7</v>
      </c>
      <c r="B5" t="s">
        <v>4</v>
      </c>
      <c r="C5">
        <v>9439</v>
      </c>
      <c r="D5">
        <f t="shared" si="0"/>
        <v>9.4390000000000001</v>
      </c>
      <c r="E5">
        <v>9439</v>
      </c>
      <c r="F5">
        <f t="shared" si="1"/>
        <v>9.4390000000000001</v>
      </c>
      <c r="G5">
        <v>6439</v>
      </c>
      <c r="H5">
        <f t="shared" si="2"/>
        <v>6.4390000000000001</v>
      </c>
      <c r="I5">
        <f t="shared" si="3"/>
        <v>146.59108557229382</v>
      </c>
      <c r="K5">
        <f t="shared" si="4"/>
        <v>100</v>
      </c>
    </row>
    <row r="6" spans="1:11" x14ac:dyDescent="0.25">
      <c r="A6" s="1" t="s">
        <v>8</v>
      </c>
      <c r="B6" t="s">
        <v>4</v>
      </c>
      <c r="C6">
        <v>0</v>
      </c>
      <c r="D6">
        <f t="shared" si="0"/>
        <v>0</v>
      </c>
      <c r="E6">
        <v>999999</v>
      </c>
      <c r="F6">
        <f t="shared" si="1"/>
        <v>999.99900000000002</v>
      </c>
      <c r="G6">
        <v>0</v>
      </c>
      <c r="H6">
        <f t="shared" si="2"/>
        <v>0</v>
      </c>
      <c r="I6" t="e">
        <f t="shared" si="3"/>
        <v>#DIV/0!</v>
      </c>
      <c r="K6">
        <f t="shared" si="4"/>
        <v>0</v>
      </c>
    </row>
    <row r="7" spans="1:11" x14ac:dyDescent="0.25">
      <c r="A7" s="1" t="s">
        <v>9</v>
      </c>
      <c r="B7" t="s">
        <v>4</v>
      </c>
      <c r="C7">
        <v>28506.147000000001</v>
      </c>
      <c r="D7">
        <f t="shared" si="0"/>
        <v>28.506147000000002</v>
      </c>
      <c r="E7">
        <v>132000</v>
      </c>
      <c r="F7">
        <f t="shared" si="1"/>
        <v>132</v>
      </c>
      <c r="G7">
        <v>1200</v>
      </c>
      <c r="H7">
        <f t="shared" si="2"/>
        <v>1.2</v>
      </c>
      <c r="I7">
        <f t="shared" si="3"/>
        <v>2375.5122500000002</v>
      </c>
      <c r="K7">
        <f t="shared" si="4"/>
        <v>21.595565909090912</v>
      </c>
    </row>
    <row r="8" spans="1:11" x14ac:dyDescent="0.25">
      <c r="A8" s="1" t="s">
        <v>10</v>
      </c>
      <c r="B8" t="s">
        <v>4</v>
      </c>
      <c r="C8">
        <v>30430</v>
      </c>
      <c r="D8">
        <f t="shared" si="0"/>
        <v>30.43</v>
      </c>
      <c r="E8">
        <v>34830</v>
      </c>
      <c r="F8">
        <f t="shared" si="1"/>
        <v>34.83</v>
      </c>
      <c r="G8">
        <v>6214</v>
      </c>
      <c r="H8">
        <f t="shared" si="2"/>
        <v>6.2140000000000004</v>
      </c>
      <c r="I8">
        <f t="shared" si="3"/>
        <v>489.70067589314448</v>
      </c>
      <c r="K8">
        <f t="shared" si="4"/>
        <v>87.367212173413719</v>
      </c>
    </row>
    <row r="9" spans="1:11" x14ac:dyDescent="0.25">
      <c r="A9" s="1" t="s">
        <v>11</v>
      </c>
      <c r="B9" t="s">
        <v>4</v>
      </c>
      <c r="C9">
        <v>179069.22</v>
      </c>
      <c r="D9">
        <f t="shared" si="0"/>
        <v>179.06922</v>
      </c>
      <c r="E9">
        <v>2000000</v>
      </c>
      <c r="F9">
        <f t="shared" si="1"/>
        <v>2000</v>
      </c>
      <c r="G9">
        <v>0</v>
      </c>
      <c r="H9">
        <f t="shared" si="2"/>
        <v>0</v>
      </c>
      <c r="I9" t="e">
        <f t="shared" si="3"/>
        <v>#DIV/0!</v>
      </c>
      <c r="K9">
        <f t="shared" si="4"/>
        <v>8.9534610000000008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/>
  </sheetViews>
  <sheetFormatPr baseColWidth="10" defaultColWidth="9.140625" defaultRowHeight="15" x14ac:dyDescent="0.25"/>
  <sheetData>
    <row r="1" spans="1:2" x14ac:dyDescent="0.25">
      <c r="B1" s="1" t="s">
        <v>2</v>
      </c>
    </row>
    <row r="2" spans="1:2" x14ac:dyDescent="0.25">
      <c r="A2" s="1" t="s">
        <v>9</v>
      </c>
      <c r="B2">
        <v>57012.294000000002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"/>
  <sheetViews>
    <sheetView workbookViewId="0"/>
  </sheetViews>
  <sheetFormatPr baseColWidth="10" defaultColWidth="9.140625" defaultRowHeight="15" x14ac:dyDescent="0.25"/>
  <sheetData>
    <row r="1" spans="1:2" x14ac:dyDescent="0.25">
      <c r="B1" s="1" t="s">
        <v>2</v>
      </c>
    </row>
    <row r="2" spans="1:2" x14ac:dyDescent="0.25">
      <c r="A2" s="1" t="s">
        <v>10</v>
      </c>
      <c r="B2">
        <v>304300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0</v>
      </c>
      <c r="B1" s="1" t="s">
        <v>12</v>
      </c>
    </row>
    <row r="2" spans="1:2" x14ac:dyDescent="0.25">
      <c r="A2" s="1" t="s">
        <v>3</v>
      </c>
      <c r="B2">
        <v>20966842647.581718</v>
      </c>
    </row>
    <row r="3" spans="1:2" x14ac:dyDescent="0.25">
      <c r="A3" s="1" t="s">
        <v>5</v>
      </c>
      <c r="B3">
        <v>39148625050.454964</v>
      </c>
    </row>
    <row r="4" spans="1:2" x14ac:dyDescent="0.25">
      <c r="A4" s="1" t="s">
        <v>6</v>
      </c>
      <c r="B4">
        <v>294710774.58378643</v>
      </c>
    </row>
    <row r="5" spans="1:2" x14ac:dyDescent="0.25">
      <c r="A5" s="1" t="s">
        <v>7</v>
      </c>
      <c r="B5">
        <v>765444352.21697116</v>
      </c>
    </row>
    <row r="6" spans="1:2" x14ac:dyDescent="0.25">
      <c r="A6" s="1" t="s">
        <v>8</v>
      </c>
      <c r="B6">
        <v>0</v>
      </c>
    </row>
    <row r="7" spans="1:2" x14ac:dyDescent="0.25">
      <c r="A7" s="1" t="s">
        <v>9</v>
      </c>
      <c r="B7">
        <v>595861855.25087988</v>
      </c>
    </row>
    <row r="8" spans="1:2" x14ac:dyDescent="0.25">
      <c r="A8" s="1" t="s">
        <v>10</v>
      </c>
      <c r="B8">
        <v>1235733362.2190781</v>
      </c>
    </row>
    <row r="9" spans="1:2" x14ac:dyDescent="0.25">
      <c r="A9" s="1" t="s">
        <v>11</v>
      </c>
      <c r="B9">
        <v>26877172411.915192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inst_leistung</vt:lpstr>
      <vt:lpstr>batterie_kapazitaet</vt:lpstr>
      <vt:lpstr>pump_kapazitaet</vt:lpstr>
      <vt:lpstr>Kosten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ms119227</cp:lastModifiedBy>
  <dcterms:created xsi:type="dcterms:W3CDTF">2025-12-16T10:24:49Z</dcterms:created>
  <dcterms:modified xsi:type="dcterms:W3CDTF">2025-12-29T12:05:48Z</dcterms:modified>
</cp:coreProperties>
</file>