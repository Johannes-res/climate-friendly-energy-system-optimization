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811EF95C-3619-4953-AF91-FEA55CAF73F3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Speicher_Statistik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2" i="1"/>
  <c r="M2" i="1"/>
  <c r="M3" i="1"/>
  <c r="M4" i="1"/>
  <c r="L3" i="1"/>
  <c r="L4" i="1"/>
  <c r="L2" i="1"/>
</calcChain>
</file>

<file path=xl/sharedStrings.xml><?xml version="1.0" encoding="utf-8"?>
<sst xmlns="http://schemas.openxmlformats.org/spreadsheetml/2006/main" count="14" uniqueCount="14">
  <si>
    <t>Speicher</t>
  </si>
  <si>
    <t>Zeitschritte</t>
  </si>
  <si>
    <t>Kapazität [MWh]</t>
  </si>
  <si>
    <t>Max SOC [MWh]</t>
  </si>
  <si>
    <t>Min SOC [MWh]</t>
  </si>
  <si>
    <t>Durchschn. SOC [MWh]</t>
  </si>
  <si>
    <t>Max Entladung [MW]</t>
  </si>
  <si>
    <t>Max Ladung [MW]</t>
  </si>
  <si>
    <t>Gesamte Entladung [MWh]</t>
  </si>
  <si>
    <t>Gesamte Ladung [MWh]</t>
  </si>
  <si>
    <t>Batteriespeicher_Batterie</t>
  </si>
  <si>
    <t>Pumpspeicher_Pump</t>
  </si>
  <si>
    <t>Wasserstoffkaverne_H2</t>
  </si>
  <si>
    <t>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</si>
</sst>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O3" sqref="O3"/>
    </sheetView>
  </sheetViews>
  <sheetFormatPr baseColWidth="10" defaultColWidth="9.140625" defaultRowHeight="15" x14ac:dyDescent="0.25"/>
  <cols>
    <col min="2" max="2" width="25" customWidth="1"/>
    <col min="3" max="3" width="19.85546875" customWidth="1"/>
    <col min="6" max="6" width="9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13</v>
      </c>
    </row>
    <row r="2" spans="1:15" x14ac:dyDescent="0.25">
      <c r="A2" t="s">
        <v>10</v>
      </c>
      <c r="B2">
        <v>35036</v>
      </c>
      <c r="C2">
        <v>57012.294000000002</v>
      </c>
      <c r="D2">
        <v>57012.294000000002</v>
      </c>
      <c r="E2">
        <v>-2.7574241000000001E-12</v>
      </c>
      <c r="F2">
        <v>3744.286837901107</v>
      </c>
      <c r="G2">
        <v>28506.147000000001</v>
      </c>
      <c r="H2">
        <v>-28506.147000000001</v>
      </c>
      <c r="I2">
        <v>25472279.202416182</v>
      </c>
      <c r="J2">
        <v>25465152.65868276</v>
      </c>
      <c r="L2">
        <f>C2/1000</f>
        <v>57.012294000000004</v>
      </c>
      <c r="M2">
        <f t="shared" ref="M2:M3" si="0">J2/1000</f>
        <v>25465.15265868276</v>
      </c>
      <c r="N2">
        <v>1.5</v>
      </c>
      <c r="O2">
        <f>L2/1.5*100</f>
        <v>3800.8196000000007</v>
      </c>
    </row>
    <row r="3" spans="1:15" x14ac:dyDescent="0.25">
      <c r="A3" t="s">
        <v>11</v>
      </c>
      <c r="B3">
        <v>8759</v>
      </c>
      <c r="C3">
        <v>304300</v>
      </c>
      <c r="D3">
        <v>304300</v>
      </c>
      <c r="E3">
        <v>-3.9864002000000002E-11</v>
      </c>
      <c r="F3">
        <v>66619.811651836964</v>
      </c>
      <c r="G3">
        <v>30430</v>
      </c>
      <c r="H3">
        <v>-30430</v>
      </c>
      <c r="I3">
        <v>22941227.458330002</v>
      </c>
      <c r="J3">
        <v>22939705.955395252</v>
      </c>
      <c r="L3">
        <f t="shared" ref="L3:L4" si="1">C3/1000</f>
        <v>304.3</v>
      </c>
      <c r="M3">
        <f t="shared" si="0"/>
        <v>22939.705955395253</v>
      </c>
      <c r="N3">
        <v>60.67</v>
      </c>
      <c r="O3">
        <f>L3/N3*100</f>
        <v>501.56584803032797</v>
      </c>
    </row>
    <row r="4" spans="1:15" x14ac:dyDescent="0.25">
      <c r="A4" t="s">
        <v>12</v>
      </c>
      <c r="B4">
        <v>8759</v>
      </c>
      <c r="C4">
        <v>49457381</v>
      </c>
      <c r="D4">
        <v>32333475</v>
      </c>
      <c r="E4">
        <v>0</v>
      </c>
      <c r="F4">
        <v>17740048.285094641</v>
      </c>
      <c r="G4">
        <v>179069.22</v>
      </c>
      <c r="H4">
        <v>-179069.22</v>
      </c>
      <c r="I4">
        <v>91037246.017459989</v>
      </c>
      <c r="J4">
        <v>91050068.832258865</v>
      </c>
      <c r="L4">
        <f t="shared" si="1"/>
        <v>49457.381000000001</v>
      </c>
      <c r="M4">
        <f>J4/1000</f>
        <v>91050.068832258868</v>
      </c>
      <c r="O4">
        <f>L4/1.5*100</f>
        <v>3297158.7333333339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Speicher_Statistiken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2025-12-29T12:28:25Z</dcterms:created>
  <dcterms:modified xsi:type="dcterms:W3CDTF">2025-12-30T15:06:36Z</dcterms:modified>
</cp:coreProperties>
</file>