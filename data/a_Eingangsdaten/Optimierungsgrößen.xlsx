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EA320A8F-D2CB-499A-879D-5F07A62A77B6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3" i="1"/>
  <c r="F5" i="1"/>
  <c r="F6" i="1"/>
  <c r="F7" i="1"/>
  <c r="F8" i="1"/>
  <c r="F3" i="1"/>
  <c r="F9" i="1"/>
  <c r="I14" i="1"/>
  <c r="E14" i="1"/>
  <c r="E15" i="1"/>
  <c r="E9" i="1"/>
  <c r="E8" i="1"/>
  <c r="E7" i="1"/>
  <c r="E4" i="1"/>
  <c r="F4" i="1" s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F2" authorId="0" shapeId="0" xr:uid="{6D679327-6FC0-4EDF-8B10-6C4F0C7E874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histor. Max wert
</t>
        </r>
      </text>
    </comment>
    <comment ref="E5" authorId="0" shapeId="0" xr:uid="{5D612638-672D-4FBD-96AA-CE39C0ABE188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Zeitreihen 2024
</t>
        </r>
      </text>
    </comment>
    <comment ref="E6" authorId="0" shapeId="0" xr:uid="{52D6F876-3CD2-4EB9-977F-9B9FD472A8C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 2024
</t>
        </r>
      </text>
    </comment>
    <comment ref="E10" authorId="0" shapeId="0" xr:uid="{8A1D37A2-13A1-4606-9A45-2559219B3E59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Roadmap Tiefengeothermie Fraunhofer</t>
        </r>
      </text>
    </comment>
    <comment ref="E11" authorId="0" shapeId="0" xr:uid="{3439746B-F33A-45BE-B109-E17AAE67BB7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Roadmap Tiefengeothermie Fraunhofer
</t>
        </r>
      </text>
    </comment>
  </commentList>
</comments>
</file>

<file path=xl/sharedStrings.xml><?xml version="1.0" encoding="utf-8"?>
<sst xmlns="http://schemas.openxmlformats.org/spreadsheetml/2006/main" count="106" uniqueCount="65">
  <si>
    <t>Technologie</t>
  </si>
  <si>
    <t>Art</t>
  </si>
  <si>
    <t>Effizienz</t>
  </si>
  <si>
    <t>Kernenergie</t>
  </si>
  <si>
    <t>Laufwasser</t>
  </si>
  <si>
    <t>Biomasse</t>
  </si>
  <si>
    <t>Geothermie</t>
  </si>
  <si>
    <t>Müll</t>
  </si>
  <si>
    <t>Solar</t>
  </si>
  <si>
    <t>Flächengeothermie</t>
  </si>
  <si>
    <t>Tiefengeothermie</t>
  </si>
  <si>
    <t>Solarthermie</t>
  </si>
  <si>
    <t>Erzeuger</t>
  </si>
  <si>
    <t>Speicher</t>
  </si>
  <si>
    <t>Pumpspeicher</t>
  </si>
  <si>
    <t>Wasserstoffspeicher Kaverne</t>
  </si>
  <si>
    <t>Wasserstoffspeicher Druck</t>
  </si>
  <si>
    <t>Wärmespeicher</t>
  </si>
  <si>
    <t>E-Fuelspeicher</t>
  </si>
  <si>
    <t>Biomassespeicher</t>
  </si>
  <si>
    <t>Batteriespeicher</t>
  </si>
  <si>
    <t>Wandler</t>
  </si>
  <si>
    <t>Elektrolyseur</t>
  </si>
  <si>
    <t>Brennstoffzelle</t>
  </si>
  <si>
    <t>Wasserstoffheizung</t>
  </si>
  <si>
    <t>Luft-Wasser-Wärmepumpe</t>
  </si>
  <si>
    <t>Sole-Wasser-Wärmepumpe</t>
  </si>
  <si>
    <t>Energieträger</t>
  </si>
  <si>
    <t>Strom</t>
  </si>
  <si>
    <t>Wärme</t>
  </si>
  <si>
    <t>Wasserstoff</t>
  </si>
  <si>
    <t>E-Fuel</t>
  </si>
  <si>
    <t>Biomasseheizung</t>
  </si>
  <si>
    <t>untere Grenze [MW]</t>
  </si>
  <si>
    <t>obere Grenze [MW]</t>
  </si>
  <si>
    <t>Wind_Onshore</t>
  </si>
  <si>
    <t>Wind_Offshore</t>
  </si>
  <si>
    <t>untere Kapagrenze [MWh]</t>
  </si>
  <si>
    <t>obere Kapagrenze [MWh]</t>
  </si>
  <si>
    <t>Variablenname</t>
  </si>
  <si>
    <t>sp_wae1</t>
  </si>
  <si>
    <t>e_s1</t>
  </si>
  <si>
    <t>e_s2</t>
  </si>
  <si>
    <t>e_s3</t>
  </si>
  <si>
    <t>e_s4</t>
  </si>
  <si>
    <t>e_s5</t>
  </si>
  <si>
    <t>e_s6</t>
  </si>
  <si>
    <t>e_s7</t>
  </si>
  <si>
    <t>e_s8</t>
  </si>
  <si>
    <t>e_wae1</t>
  </si>
  <si>
    <t>e_wae2</t>
  </si>
  <si>
    <t>e_wae3</t>
  </si>
  <si>
    <t>e_wae4</t>
  </si>
  <si>
    <t>sp_s1</t>
  </si>
  <si>
    <t>sp_s2</t>
  </si>
  <si>
    <t>sp_h1</t>
  </si>
  <si>
    <t>sp_h2</t>
  </si>
  <si>
    <t>sp_f1</t>
  </si>
  <si>
    <t>sp_b1</t>
  </si>
  <si>
    <t>w_s_h1</t>
  </si>
  <si>
    <t>w_h_s1</t>
  </si>
  <si>
    <t>w_h_wae1</t>
  </si>
  <si>
    <t>w_s_wae1</t>
  </si>
  <si>
    <t>w_s_wae2</t>
  </si>
  <si>
    <t>Kosten [€/MW]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</si>
</sst>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isRasanterRaser\Desktop\UNI\000_DA\git\knEBiD\data\energy-charts\energy-charts_Installierte_Netto-Leistung_zur_Stromerzeugung_in_Deutschland_in_2024.xlsx" TargetMode="External"/><Relationship Id="rId1" Type="http://schemas.openxmlformats.org/officeDocument/2006/relationships/externalLinkPath" Target="/Users/HansisRasanterRaser/Desktop/UNI/000_DA/git/knEBiD/data/energy-charts/energy-charts_Installierte_Netto-Leistung_zur_Stromerzeugung_in_Deutschland_in_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isRasanterRaser\Desktop\UNI\000_DA\git\knEBiD\data\Vergleichstabelle.xlsx" TargetMode="External"/><Relationship Id="rId1" Type="http://schemas.openxmlformats.org/officeDocument/2006/relationships/externalLinkPath" Target="/Users/HansisRasanterRaser/Desktop/UNI/000_DA/git/knEBiD/data/Vergleichstabe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>
        <row r="3">
          <cell r="B3">
            <v>6.4390000000000001</v>
          </cell>
          <cell r="C3">
            <v>9.8699999999999992</v>
          </cell>
          <cell r="D3">
            <v>12.368</v>
          </cell>
          <cell r="E3">
            <v>18.047999999999998</v>
          </cell>
          <cell r="F3">
            <v>9.1720000000000006</v>
          </cell>
          <cell r="L3">
            <v>9.2149999999999999</v>
          </cell>
          <cell r="M3">
            <v>63.567</v>
          </cell>
          <cell r="N3">
            <v>100.012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m"/>
      <sheetName val="Wärme"/>
      <sheetName val="Speicher"/>
    </sheetNames>
    <sheetDataSet>
      <sheetData sheetId="0">
        <row r="7">
          <cell r="G7">
            <v>1045</v>
          </cell>
        </row>
        <row r="9">
          <cell r="G9">
            <v>8.5879999999999992</v>
          </cell>
        </row>
        <row r="11">
          <cell r="G11">
            <v>365.9</v>
          </cell>
        </row>
        <row r="13">
          <cell r="G13">
            <v>70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37" customWidth="1"/>
    <col min="2" max="2" width="17.140625" customWidth="1"/>
    <col min="4" max="4" width="14" customWidth="1"/>
    <col min="5" max="5" width="19" customWidth="1"/>
    <col min="6" max="6" width="18.42578125" customWidth="1"/>
    <col min="7" max="7" width="15" customWidth="1"/>
    <col min="9" max="9" width="24.5703125" bestFit="1" customWidth="1"/>
    <col min="10" max="10" width="13.42578125" customWidth="1"/>
  </cols>
  <sheetData>
    <row r="1" spans="1:10" x14ac:dyDescent="0.25">
      <c r="A1" t="s">
        <v>0</v>
      </c>
      <c r="B1" t="s">
        <v>39</v>
      </c>
      <c r="C1" t="s">
        <v>1</v>
      </c>
      <c r="D1" t="s">
        <v>27</v>
      </c>
      <c r="E1" t="s">
        <v>33</v>
      </c>
      <c r="F1" t="s">
        <v>34</v>
      </c>
      <c r="G1" t="s">
        <v>64</v>
      </c>
      <c r="H1" t="s">
        <v>2</v>
      </c>
      <c r="I1" t="s">
        <v>37</v>
      </c>
      <c r="J1" t="s">
        <v>38</v>
      </c>
    </row>
    <row r="2" spans="1:10" x14ac:dyDescent="0.25">
      <c r="A2" t="s">
        <v>3</v>
      </c>
      <c r="B2" t="s">
        <v>41</v>
      </c>
      <c r="C2" t="s">
        <v>12</v>
      </c>
      <c r="D2" t="s">
        <v>28</v>
      </c>
      <c r="E2">
        <v>0</v>
      </c>
      <c r="F2">
        <v>22000</v>
      </c>
      <c r="G2" s="1">
        <v>99999</v>
      </c>
      <c r="H2" s="1">
        <v>1</v>
      </c>
    </row>
    <row r="3" spans="1:10" x14ac:dyDescent="0.25">
      <c r="A3" t="s">
        <v>4</v>
      </c>
      <c r="B3" t="s">
        <v>42</v>
      </c>
      <c r="C3" t="s">
        <v>12</v>
      </c>
      <c r="D3" t="s">
        <v>28</v>
      </c>
      <c r="E3">
        <f>'[1]1'!$B$3*1000</f>
        <v>6439</v>
      </c>
      <c r="F3">
        <f>[2]Stom!$G$9*1000</f>
        <v>8588</v>
      </c>
      <c r="G3">
        <f>6250*1000</f>
        <v>6250000</v>
      </c>
      <c r="H3" s="1">
        <v>1</v>
      </c>
    </row>
    <row r="4" spans="1:10" x14ac:dyDescent="0.25">
      <c r="A4" t="s">
        <v>5</v>
      </c>
      <c r="B4" t="s">
        <v>43</v>
      </c>
      <c r="C4" t="s">
        <v>12</v>
      </c>
      <c r="D4" t="s">
        <v>28</v>
      </c>
      <c r="E4">
        <f>'[1]1'!$F$3*1000</f>
        <v>9172</v>
      </c>
      <c r="F4">
        <f>E4+1</f>
        <v>9173</v>
      </c>
      <c r="G4" s="1">
        <v>999</v>
      </c>
      <c r="H4" s="1">
        <v>1</v>
      </c>
    </row>
    <row r="5" spans="1:10" x14ac:dyDescent="0.25">
      <c r="A5" t="s">
        <v>6</v>
      </c>
      <c r="B5" t="s">
        <v>44</v>
      </c>
      <c r="C5" t="s">
        <v>12</v>
      </c>
      <c r="D5" t="s">
        <v>28</v>
      </c>
      <c r="E5">
        <v>29</v>
      </c>
      <c r="F5">
        <f>E5+1</f>
        <v>30</v>
      </c>
      <c r="G5" s="1">
        <v>999</v>
      </c>
      <c r="H5" s="1">
        <v>1</v>
      </c>
    </row>
    <row r="6" spans="1:10" x14ac:dyDescent="0.25">
      <c r="A6" t="s">
        <v>7</v>
      </c>
      <c r="B6" t="s">
        <v>45</v>
      </c>
      <c r="C6" t="s">
        <v>12</v>
      </c>
      <c r="D6" t="s">
        <v>28</v>
      </c>
      <c r="E6">
        <v>1367</v>
      </c>
      <c r="F6">
        <f>E6+1</f>
        <v>1368</v>
      </c>
      <c r="G6" s="1">
        <v>999</v>
      </c>
      <c r="H6" s="1">
        <v>1</v>
      </c>
    </row>
    <row r="7" spans="1:10" x14ac:dyDescent="0.25">
      <c r="A7" t="s">
        <v>36</v>
      </c>
      <c r="B7" t="s">
        <v>46</v>
      </c>
      <c r="C7" t="s">
        <v>12</v>
      </c>
      <c r="D7" t="s">
        <v>28</v>
      </c>
      <c r="E7">
        <f>'[1]1'!$L$3*1000</f>
        <v>9215</v>
      </c>
      <c r="F7">
        <f>[2]Stom!$G$13*1000</f>
        <v>70000</v>
      </c>
      <c r="G7" s="1">
        <v>3000</v>
      </c>
      <c r="H7" s="1">
        <v>1</v>
      </c>
    </row>
    <row r="8" spans="1:10" x14ac:dyDescent="0.25">
      <c r="A8" t="s">
        <v>35</v>
      </c>
      <c r="B8" t="s">
        <v>47</v>
      </c>
      <c r="C8" t="s">
        <v>12</v>
      </c>
      <c r="D8" t="s">
        <v>28</v>
      </c>
      <c r="E8">
        <f>'[1]1'!$M$3*1000</f>
        <v>63567</v>
      </c>
      <c r="F8">
        <f>[2]Stom!$G$11*1000</f>
        <v>365900</v>
      </c>
      <c r="G8" s="1">
        <v>1700</v>
      </c>
      <c r="H8" s="1">
        <v>1</v>
      </c>
    </row>
    <row r="9" spans="1:10" x14ac:dyDescent="0.25">
      <c r="A9" t="s">
        <v>8</v>
      </c>
      <c r="B9" t="s">
        <v>48</v>
      </c>
      <c r="C9" t="s">
        <v>12</v>
      </c>
      <c r="D9" t="s">
        <v>28</v>
      </c>
      <c r="E9">
        <f>'[1]1'!$N$3*1000</f>
        <v>100012</v>
      </c>
      <c r="F9">
        <f>[2]Stom!$G$7*1000</f>
        <v>1045000</v>
      </c>
      <c r="G9">
        <f>947*1000</f>
        <v>947000</v>
      </c>
      <c r="H9" s="1">
        <v>1</v>
      </c>
    </row>
    <row r="10" spans="1:10" x14ac:dyDescent="0.25">
      <c r="A10" t="s">
        <v>9</v>
      </c>
      <c r="B10" t="s">
        <v>49</v>
      </c>
      <c r="C10" t="s">
        <v>12</v>
      </c>
      <c r="D10" t="s">
        <v>29</v>
      </c>
      <c r="E10">
        <v>4400</v>
      </c>
      <c r="F10" s="1">
        <v>99999</v>
      </c>
      <c r="G10" s="1">
        <v>999</v>
      </c>
      <c r="H10" s="1">
        <v>1</v>
      </c>
    </row>
    <row r="11" spans="1:10" x14ac:dyDescent="0.25">
      <c r="A11" t="s">
        <v>10</v>
      </c>
      <c r="B11" t="s">
        <v>50</v>
      </c>
      <c r="C11" t="s">
        <v>12</v>
      </c>
      <c r="D11" t="s">
        <v>29</v>
      </c>
      <c r="E11">
        <v>359</v>
      </c>
      <c r="F11" s="1">
        <v>99999</v>
      </c>
      <c r="G11" s="1">
        <v>999</v>
      </c>
      <c r="H11" s="1">
        <v>1</v>
      </c>
    </row>
    <row r="12" spans="1:10" x14ac:dyDescent="0.25">
      <c r="A12" t="s">
        <v>11</v>
      </c>
      <c r="B12" t="s">
        <v>51</v>
      </c>
      <c r="C12" t="s">
        <v>12</v>
      </c>
      <c r="D12" t="s">
        <v>29</v>
      </c>
      <c r="E12" s="1">
        <v>100</v>
      </c>
      <c r="F12" s="1">
        <v>99999</v>
      </c>
      <c r="G12" s="1">
        <v>999</v>
      </c>
      <c r="H12" s="1">
        <v>1</v>
      </c>
    </row>
    <row r="13" spans="1:10" x14ac:dyDescent="0.25">
      <c r="A13" t="s">
        <v>32</v>
      </c>
      <c r="B13" t="s">
        <v>52</v>
      </c>
      <c r="C13" t="s">
        <v>12</v>
      </c>
      <c r="D13" t="s">
        <v>29</v>
      </c>
      <c r="E13" s="1">
        <v>100</v>
      </c>
      <c r="F13" s="1">
        <v>99999</v>
      </c>
      <c r="G13" s="1">
        <v>999</v>
      </c>
      <c r="H13" s="1">
        <v>1</v>
      </c>
    </row>
    <row r="14" spans="1:10" x14ac:dyDescent="0.25">
      <c r="A14" t="s">
        <v>20</v>
      </c>
      <c r="B14" t="s">
        <v>53</v>
      </c>
      <c r="C14" t="s">
        <v>13</v>
      </c>
      <c r="D14" t="s">
        <v>28</v>
      </c>
      <c r="E14">
        <f>'[1]1'!$D$3*1000</f>
        <v>12368</v>
      </c>
      <c r="F14" s="1">
        <v>99999</v>
      </c>
      <c r="G14" s="1">
        <v>999</v>
      </c>
      <c r="H14" s="1">
        <v>1</v>
      </c>
      <c r="I14">
        <f>'[1]1'!$E$3*1000</f>
        <v>18048</v>
      </c>
      <c r="J14" s="1">
        <v>99999</v>
      </c>
    </row>
    <row r="15" spans="1:10" x14ac:dyDescent="0.25">
      <c r="A15" t="s">
        <v>14</v>
      </c>
      <c r="B15" t="s">
        <v>54</v>
      </c>
      <c r="C15" t="s">
        <v>13</v>
      </c>
      <c r="D15" t="s">
        <v>28</v>
      </c>
      <c r="E15">
        <f>'[1]1'!$C$3*1000</f>
        <v>9870</v>
      </c>
      <c r="F15" s="1">
        <v>9999</v>
      </c>
      <c r="G15" s="1">
        <v>999</v>
      </c>
      <c r="H15" s="1">
        <v>1</v>
      </c>
      <c r="I15" s="1">
        <v>37000</v>
      </c>
      <c r="J15" s="1">
        <v>40000</v>
      </c>
    </row>
    <row r="16" spans="1:10" x14ac:dyDescent="0.25">
      <c r="A16" t="s">
        <v>15</v>
      </c>
      <c r="B16" t="s">
        <v>55</v>
      </c>
      <c r="C16" t="s">
        <v>13</v>
      </c>
      <c r="D16" t="s">
        <v>30</v>
      </c>
      <c r="E16" s="1">
        <v>100</v>
      </c>
      <c r="F16" s="1">
        <v>999</v>
      </c>
      <c r="G16" s="1">
        <v>999</v>
      </c>
      <c r="H16" s="1">
        <v>1</v>
      </c>
      <c r="I16" s="1">
        <v>0</v>
      </c>
      <c r="J16" s="1">
        <v>99999999</v>
      </c>
    </row>
    <row r="17" spans="1:10" x14ac:dyDescent="0.25">
      <c r="A17" t="s">
        <v>16</v>
      </c>
      <c r="B17" t="s">
        <v>56</v>
      </c>
      <c r="C17" t="s">
        <v>13</v>
      </c>
      <c r="D17" t="s">
        <v>30</v>
      </c>
      <c r="E17" s="1">
        <v>100</v>
      </c>
      <c r="F17" s="1">
        <v>999</v>
      </c>
      <c r="G17" s="1">
        <v>999</v>
      </c>
      <c r="H17" s="1">
        <v>1</v>
      </c>
      <c r="I17" s="1">
        <v>0</v>
      </c>
      <c r="J17" s="1">
        <v>9999</v>
      </c>
    </row>
    <row r="18" spans="1:10" x14ac:dyDescent="0.25">
      <c r="A18" t="s">
        <v>17</v>
      </c>
      <c r="B18" t="s">
        <v>40</v>
      </c>
      <c r="C18" t="s">
        <v>13</v>
      </c>
      <c r="D18" t="s">
        <v>29</v>
      </c>
      <c r="E18" s="1">
        <v>100</v>
      </c>
      <c r="F18" s="1">
        <v>999</v>
      </c>
      <c r="G18" s="1">
        <v>999</v>
      </c>
      <c r="H18" s="1">
        <v>1</v>
      </c>
      <c r="I18" s="1">
        <v>0</v>
      </c>
      <c r="J18" s="1">
        <v>99999999</v>
      </c>
    </row>
    <row r="19" spans="1:10" x14ac:dyDescent="0.25">
      <c r="A19" t="s">
        <v>18</v>
      </c>
      <c r="B19" t="s">
        <v>57</v>
      </c>
      <c r="C19" t="s">
        <v>13</v>
      </c>
      <c r="D19" t="s">
        <v>31</v>
      </c>
      <c r="E19" s="1">
        <v>100</v>
      </c>
      <c r="F19" s="1">
        <v>999</v>
      </c>
      <c r="G19" s="1">
        <v>999</v>
      </c>
      <c r="H19" s="1">
        <v>1</v>
      </c>
      <c r="I19" s="1">
        <v>0</v>
      </c>
      <c r="J19" s="1">
        <v>99999999</v>
      </c>
    </row>
    <row r="20" spans="1:10" x14ac:dyDescent="0.25">
      <c r="A20" t="s">
        <v>19</v>
      </c>
      <c r="B20" t="s">
        <v>58</v>
      </c>
      <c r="C20" t="s">
        <v>13</v>
      </c>
      <c r="D20" t="s">
        <v>5</v>
      </c>
      <c r="E20" s="1">
        <v>100</v>
      </c>
      <c r="F20" s="1">
        <v>999</v>
      </c>
      <c r="G20" s="1">
        <v>999</v>
      </c>
      <c r="H20" s="1">
        <v>1</v>
      </c>
      <c r="I20" s="1">
        <v>0</v>
      </c>
      <c r="J20" s="1">
        <v>99999999</v>
      </c>
    </row>
    <row r="21" spans="1:10" x14ac:dyDescent="0.25">
      <c r="A21" t="s">
        <v>22</v>
      </c>
      <c r="B21" t="s">
        <v>59</v>
      </c>
      <c r="C21" t="s">
        <v>21</v>
      </c>
      <c r="D21" t="s">
        <v>28</v>
      </c>
      <c r="E21" s="1">
        <v>100</v>
      </c>
      <c r="F21" s="1">
        <v>999</v>
      </c>
      <c r="G21" s="1">
        <v>999</v>
      </c>
      <c r="H21" s="1">
        <v>1</v>
      </c>
    </row>
    <row r="22" spans="1:10" x14ac:dyDescent="0.25">
      <c r="A22" t="s">
        <v>23</v>
      </c>
      <c r="B22" t="s">
        <v>60</v>
      </c>
      <c r="C22" t="s">
        <v>21</v>
      </c>
      <c r="D22" t="s">
        <v>30</v>
      </c>
      <c r="E22" s="1">
        <v>100</v>
      </c>
      <c r="F22" s="1">
        <v>999</v>
      </c>
      <c r="G22" s="1">
        <v>999</v>
      </c>
      <c r="H22" s="1">
        <v>1</v>
      </c>
    </row>
    <row r="23" spans="1:10" x14ac:dyDescent="0.25">
      <c r="A23" t="s">
        <v>24</v>
      </c>
      <c r="B23" t="s">
        <v>61</v>
      </c>
      <c r="C23" t="s">
        <v>21</v>
      </c>
      <c r="D23" t="s">
        <v>30</v>
      </c>
      <c r="E23" s="1">
        <v>100</v>
      </c>
      <c r="F23" s="1">
        <v>999</v>
      </c>
      <c r="G23" s="1">
        <v>999</v>
      </c>
      <c r="H23" s="1">
        <v>1</v>
      </c>
    </row>
    <row r="24" spans="1:10" x14ac:dyDescent="0.25">
      <c r="A24" t="s">
        <v>25</v>
      </c>
      <c r="B24" t="s">
        <v>62</v>
      </c>
      <c r="C24" t="s">
        <v>21</v>
      </c>
      <c r="D24" t="s">
        <v>28</v>
      </c>
      <c r="E24" s="1">
        <v>100</v>
      </c>
      <c r="F24" s="1">
        <v>999</v>
      </c>
      <c r="G24" s="1">
        <v>999</v>
      </c>
      <c r="H24" s="1">
        <v>1</v>
      </c>
    </row>
    <row r="25" spans="1:10" x14ac:dyDescent="0.25">
      <c r="A25" t="s">
        <v>26</v>
      </c>
      <c r="B25" t="s">
        <v>63</v>
      </c>
      <c r="C25" t="s">
        <v>21</v>
      </c>
      <c r="D25" t="s">
        <v>28</v>
      </c>
      <c r="E25" s="1">
        <v>100</v>
      </c>
      <c r="F25" s="1">
        <v>999</v>
      </c>
      <c r="G25" s="1">
        <v>999</v>
      </c>
      <c r="H25" s="1">
        <v>1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2025-07-08T11:28:35Z</dcterms:modified>
</cp:coreProperties>
</file>