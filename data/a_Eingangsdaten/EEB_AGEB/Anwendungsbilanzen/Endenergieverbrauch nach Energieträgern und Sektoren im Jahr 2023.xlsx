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Bedarf\Anwendungsbilanzen\"/>
    </mc:Choice>
  </mc:AlternateContent>
  <xr:revisionPtr revIDLastSave="0" documentId="8_{4009BF4F-0450-46F6-858C-3BCA344E56D7}" xr6:coauthVersionLast="47" xr6:coauthVersionMax="47" xr10:uidLastSave="{00000000-0000-0000-0000-000000000000}"/>
  <bookViews>
    <workbookView xWindow="-28920" yWindow="-120" windowWidth="29040" windowHeight="15990" xr2:uid="{8594D049-00DE-4656-B39F-B565FFE223A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G5" i="1"/>
  <c r="F5" i="1"/>
  <c r="E5" i="1"/>
  <c r="D5" i="1"/>
  <c r="C5" i="1"/>
  <c r="B5" i="1"/>
  <c r="F4" i="1"/>
  <c r="E4" i="1"/>
  <c r="D4" i="1"/>
  <c r="C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<sst xmlns="http://schemas.openxmlformats.org/spreadsheetml/2006/main" count="12" uniqueCount="12">
  <si>
    <t>Stein-und Braunkohlen</t>
  </si>
  <si>
    <t>Mineralöle</t>
  </si>
  <si>
    <t>Gase</t>
  </si>
  <si>
    <t>erneuerbare Energien</t>
  </si>
  <si>
    <t>Strom</t>
  </si>
  <si>
    <t>Fernwärme</t>
  </si>
  <si>
    <t>sonstige</t>
  </si>
  <si>
    <t>Haushalte</t>
  </si>
  <si>
    <t>GHD</t>
  </si>
  <si>
    <t>Verkehr</t>
  </si>
  <si>
    <t>Industrie</t>
  </si>
  <si>
    <t>Sektoren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</si>
</sst>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D29F6-1ED6-4FF4-8D85-3917B9B9F1CA}" name="Tabelle1" displayName="Tabelle1" ref="A1:H5" totalsRowShown="0">
  <tableColumns count="8">
    <tableColumn id="1" xr3:uid="{5B04AB69-D60E-4090-868F-A3B4382902FB}" name="Sektoren"/>
    <tableColumn id="2" xr3:uid="{05A31177-F587-4753-B6A8-907EAEB6125B}" name="Stein-und Braunkohlen"/>
    <tableColumn id="3" xr3:uid="{2BCF091A-AF12-4338-BB96-1274DEA0CE19}" name="Mineralöle"/>
    <tableColumn id="4" xr3:uid="{3F2FF060-8514-4348-BB68-6AE925384CEA}" name="Gase"/>
    <tableColumn id="5" xr3:uid="{0B464021-6766-422D-9570-AA8AC1478AC9}" name="erneuerbare Energien" dataDxfId="2">
      <calculatedColumnFormula>(252223+110913)/3600</calculatedColumnFormula>
    </tableColumn>
    <tableColumn id="6" xr3:uid="{81C07ECE-5006-4FA5-8347-151E3E99D2D7}" name="Strom" dataDxfId="1">
      <calculatedColumnFormula>435467/3600</calculatedColumnFormula>
    </tableColumn>
    <tableColumn id="7" xr3:uid="{2A285A51-6BE6-406D-A9D1-C42AF1204AF5}" name="Fernwärme" dataDxfId="0">
      <calculatedColumnFormula>188351/3600</calculatedColumnFormula>
    </tableColumn>
    <tableColumn id="8" xr3:uid="{46F5257C-B797-48E4-A5AB-DACF41A977B4}" name="sonsti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FFF4-1DE3-4B2D-8C3F-E20BDA4E5FC4}">
  <dimension ref="A1:H5"/>
  <sheetViews>
    <sheetView tabSelected="1" workbookViewId="0"/>
  </sheetViews>
  <sheetFormatPr baseColWidth="10" defaultRowHeight="15" x14ac:dyDescent="0.25"/>
  <sheetData>
    <row r="1" spans="1:8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f>(1376+1668+8655)/3600</f>
        <v>3.2497222222222222</v>
      </c>
      <c r="C2">
        <f>(3201+390990+32628+13)/3600</f>
        <v>118.56444444444445</v>
      </c>
      <c r="D2">
        <f>813112/3600</f>
        <v>225.86444444444444</v>
      </c>
      <c r="E2">
        <f t="shared" ref="E2" si="0">(252223+110913)/3600</f>
        <v>100.87111111111111</v>
      </c>
      <c r="F2">
        <f>473088/3600</f>
        <v>131.41333333333333</v>
      </c>
      <c r="G2">
        <f t="shared" ref="G2" si="1">188351/3600</f>
        <v>52.319722222222225</v>
      </c>
      <c r="H2">
        <v>0</v>
      </c>
    </row>
    <row r="3" spans="1:8" x14ac:dyDescent="0.25">
      <c r="A3" t="s">
        <v>8</v>
      </c>
      <c r="B3">
        <f>(854)/3600</f>
        <v>0.23722222222222222</v>
      </c>
      <c r="C3">
        <f>(8584+3882+101113+50506+12998+40)/3600</f>
        <v>49.200833333333335</v>
      </c>
      <c r="D3">
        <f>343741/3600</f>
        <v>95.483611111111117</v>
      </c>
      <c r="E3">
        <f>(132718+10965)/3600</f>
        <v>39.911944444444444</v>
      </c>
      <c r="F3">
        <f t="shared" ref="F3" si="2">435467/3600</f>
        <v>120.96305555555556</v>
      </c>
      <c r="G3">
        <f>58588/3600</f>
        <v>16.274444444444445</v>
      </c>
      <c r="H3">
        <v>0</v>
      </c>
    </row>
    <row r="4" spans="1:8" x14ac:dyDescent="0.25">
      <c r="A4" t="s">
        <v>9</v>
      </c>
      <c r="B4">
        <v>0</v>
      </c>
      <c r="C4">
        <f>(690815+401833+1208676+7929)/3600</f>
        <v>641.45916666666665</v>
      </c>
      <c r="D4">
        <f>6943/3600</f>
        <v>1.9286111111111111</v>
      </c>
      <c r="E4">
        <f>131770/3600</f>
        <v>36.602777777777774</v>
      </c>
      <c r="F4">
        <f>57626/3600</f>
        <v>16.007222222222222</v>
      </c>
      <c r="G4">
        <v>0</v>
      </c>
      <c r="H4">
        <v>0</v>
      </c>
    </row>
    <row r="5" spans="1:8" x14ac:dyDescent="0.25">
      <c r="A5" t="s">
        <v>10</v>
      </c>
      <c r="B5">
        <f>(162961+112362+5498+486+51236)/3600</f>
        <v>92.373055555555553</v>
      </c>
      <c r="C5">
        <f>(845+31228+8842+2615+6964+35515+8516)/3600</f>
        <v>26.256944444444443</v>
      </c>
      <c r="D5">
        <f>(35445+75226+667419+107)/3600</f>
        <v>216.16583333333332</v>
      </c>
      <c r="E5">
        <f>(115161+559)/3600</f>
        <v>32.144444444444446</v>
      </c>
      <c r="F5">
        <f>668712/3600</f>
        <v>185.75333333333333</v>
      </c>
      <c r="G5">
        <f>117898/3600</f>
        <v>32.749444444444443</v>
      </c>
      <c r="H5">
        <f>73753/3600</f>
        <v>20.486944444444443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ms119227</dc:creator>
  <cp:lastModifiedBy>ms119227</cp:lastModifiedBy>
  <dcterms:created xsi:type="dcterms:W3CDTF">2025-10-18T09:31:10Z</dcterms:created>
  <dcterms:modified xsi:type="dcterms:W3CDTF">2025-10-18T09:57:52Z</dcterms:modified>
</cp:coreProperties>
</file>