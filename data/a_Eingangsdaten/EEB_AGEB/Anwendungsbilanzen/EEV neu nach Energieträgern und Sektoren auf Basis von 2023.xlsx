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Bedarf\Anwendungsbilanzen\"/>
    </mc:Choice>
  </mc:AlternateContent>
  <xr:revisionPtr revIDLastSave="0" documentId="13_ncr:1_{EE6D864C-8F99-42CF-9629-478C3E864D5B}" xr6:coauthVersionLast="47" xr6:coauthVersionMax="47" xr10:uidLastSave="{00000000-0000-0000-0000-000000000000}"/>
  <bookViews>
    <workbookView xWindow="-28920" yWindow="-120" windowWidth="29040" windowHeight="15990" xr2:uid="{8594D049-00DE-4656-B39F-B565FFE223A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M4" i="1"/>
  <c r="H4" i="1"/>
  <c r="L2" i="1"/>
  <c r="N2" i="1" s="1"/>
  <c r="L3" i="1"/>
  <c r="L4" i="1"/>
  <c r="L5" i="1"/>
  <c r="N5" i="1" s="1"/>
  <c r="J3" i="1"/>
  <c r="M3" i="1" s="1"/>
  <c r="N4" i="1" l="1"/>
  <c r="N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tc={EB888F21-0AA9-4CB2-8A3B-A26815956D68}</author>
    <author>tc={E8B55640-300E-4CEC-9F6C-7C261AFE4B96}</author>
    <author>tc={4541EC75-9EF8-47E1-BA97-8B078A6358A8}</author>
  </authors>
  <commentList>
    <comment ref="M2" authorId="0" shapeId="0" xr:uid="{EB888F21-0AA9-4CB2-8A3B-A26815956D6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Nicht zuzu ordnende differenz
</t>
      </text>
    </comment>
    <comment ref="M3" authorId="1" shapeId="0" xr:uid="{E8B55640-300E-4CEC-9F6C-7C261AFE4B9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Effizienz mech. Energie --&gt; strom
</t>
      </text>
    </comment>
    <comment ref="M4" authorId="2" shapeId="0" xr:uid="{4541EC75-9EF8-47E1-BA97-8B078A6358A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Effizienz mech. Energie</t>
      </text>
    </comment>
  </commentList>
</comments>
</file>

<file path=xl/sharedStrings.xml><?xml version="1.0" encoding="utf-8"?>
<sst xmlns="http://schemas.openxmlformats.org/spreadsheetml/2006/main" count="18" uniqueCount="18">
  <si>
    <t>erneuerbare Energien</t>
  </si>
  <si>
    <t>Strom</t>
  </si>
  <si>
    <t>Haushalte</t>
  </si>
  <si>
    <t>GHD</t>
  </si>
  <si>
    <t>Verkehr</t>
  </si>
  <si>
    <t>Industrie</t>
  </si>
  <si>
    <t>Sektoren</t>
  </si>
  <si>
    <t>Raumwärme</t>
  </si>
  <si>
    <t>Warmwasser</t>
  </si>
  <si>
    <t>Prozesswärme</t>
  </si>
  <si>
    <t>Summe</t>
  </si>
  <si>
    <t>Strom neu</t>
  </si>
  <si>
    <t>Differenz</t>
  </si>
  <si>
    <t>mech. Energie</t>
  </si>
  <si>
    <t>Wasserstoff</t>
  </si>
  <si>
    <t>Biomasse</t>
  </si>
  <si>
    <t>SubSumme</t>
  </si>
  <si>
    <t>syn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</si>
</sst>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s119227" id="{86A42983-5B90-4BF4-A388-460687B03756}" userId="S::ms119227@campussachsen.onmicrosoft.com::8d1490a3-1e54-42bd-ba7a-eb570e74753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9D29F6-1ED6-4FF4-8D85-3917B9B9F1CA}" name="Tabelle1" displayName="Tabelle1" ref="A1:N5" totalsRowShown="0">
  <tableColumns count="14">
    <tableColumn id="1" xr3:uid="{5B04AB69-D60E-4090-868F-A3B4382902FB}" name="Sektoren"/>
    <tableColumn id="2" xr3:uid="{05A31177-F587-4753-B6A8-907EAEB6125B}" name="Raumwärme"/>
    <tableColumn id="3" xr3:uid="{2BCF091A-AF12-4338-BB96-1274DEA0CE19}" name="Warmwasser"/>
    <tableColumn id="4" xr3:uid="{3F2FF060-8514-4348-BB68-6AE925384CEA}" name="Prozesswärme"/>
    <tableColumn id="5" xr3:uid="{0B464021-6766-422D-9570-AA8AC1478AC9}" name="erneuerbare Energien" dataDxfId="5"/>
    <tableColumn id="6" xr3:uid="{81C07ECE-5006-4FA5-8347-151E3E99D2D7}" name="Strom" dataDxfId="4"/>
    <tableColumn id="15" xr3:uid="{980D7D3E-85C8-440F-B379-0AF8CF876B04}" name="Biomasse"/>
    <tableColumn id="13" xr3:uid="{A11B8FE1-4E6E-4FF2-A155-05E357D2D8FA}" name="mech. Energie"/>
    <tableColumn id="14" xr3:uid="{68B808C3-69FE-4E74-A572-842DFA7E7E8A}" name="Wasserstoff"/>
    <tableColumn id="9" xr3:uid="{C9A0B120-C52B-4315-AC97-4EBB727D8400}" name="Strom neu" dataDxfId="3">
      <calculatedColumnFormula>32.2*0.4</calculatedColumnFormula>
    </tableColumn>
    <tableColumn id="7" xr3:uid="{087891FB-DB73-43F0-BBE7-ED5F1CDD45C2}" name="syn Fuel"/>
    <tableColumn id="10" xr3:uid="{CC76F5DD-F2EB-46F4-A29C-759FC666000F}" name="SubSumme" dataDxfId="0">
      <calculatedColumnFormula>SUM(Tabelle1[[#This Row],[Raumwärme]:[syn Fuel]])</calculatedColumnFormula>
    </tableColumn>
    <tableColumn id="11" xr3:uid="{60E58802-997C-4B09-BB6B-00A20D304217}" name="Differenz" dataDxfId="2">
      <calculatedColumnFormula>32.19-Tabelle1[[#This Row],[Strom neu]]</calculatedColumnFormula>
    </tableColumn>
    <tableColumn id="12" xr3:uid="{822CADBC-034E-4287-8564-A3E498513584}" name="Summe" dataDxfId="1">
      <calculatedColumnFormula>Tabelle1[[#This Row],[Differenz]]+Tabelle1[[#This Row],[SubSumme]]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5-10-20T09:28:41.46" personId="{86A42983-5B90-4BF4-A388-460687B03756}" id="{EB888F21-0AA9-4CB2-8A3B-A26815956D68}">
    <text xml:space="preserve">Nicht zuzu ordnende differenz
</text>
  </threadedComment>
  <threadedComment ref="M3" dT="2025-10-20T09:36:48.01" personId="{86A42983-5B90-4BF4-A388-460687B03756}" id="{E8B55640-300E-4CEC-9F6C-7C261AFE4B96}">
    <text xml:space="preserve">Effizienz mech. Energie --&gt; strom
</text>
  </threadedComment>
  <threadedComment ref="M4" dT="2025-10-20T09:37:26.46" personId="{86A42983-5B90-4BF4-A388-460687B03756}" id="{4541EC75-9EF8-47E1-BA97-8B078A6358A8}">
    <text>Effizienz mech. Energie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FFF4-1DE3-4B2D-8C3F-E20BDA4E5FC4}">
  <dimension ref="A1:N5"/>
  <sheetViews>
    <sheetView tabSelected="1" workbookViewId="0">
      <selection activeCell="L12" sqref="L12"/>
    </sheetView>
  </sheetViews>
  <sheetFormatPr baseColWidth="10" defaultRowHeight="15" x14ac:dyDescent="0.25"/>
  <sheetData>
    <row r="1" spans="1:14" x14ac:dyDescent="0.25">
      <c r="A1" t="s">
        <v>6</v>
      </c>
      <c r="B1" t="s">
        <v>7</v>
      </c>
      <c r="C1" t="s">
        <v>8</v>
      </c>
      <c r="D1" t="s">
        <v>9</v>
      </c>
      <c r="E1" t="s">
        <v>0</v>
      </c>
      <c r="F1" t="s">
        <v>1</v>
      </c>
      <c r="G1" t="s">
        <v>15</v>
      </c>
      <c r="H1" t="s">
        <v>13</v>
      </c>
      <c r="I1" t="s">
        <v>14</v>
      </c>
      <c r="J1" t="s">
        <v>11</v>
      </c>
      <c r="K1" t="s">
        <v>17</v>
      </c>
      <c r="L1" t="s">
        <v>16</v>
      </c>
      <c r="M1" t="s">
        <v>12</v>
      </c>
      <c r="N1" t="s">
        <v>10</v>
      </c>
    </row>
    <row r="2" spans="1:14" x14ac:dyDescent="0.25">
      <c r="A2" t="s">
        <v>2</v>
      </c>
      <c r="B2">
        <v>325</v>
      </c>
      <c r="C2">
        <v>73</v>
      </c>
      <c r="E2" s="1">
        <v>9</v>
      </c>
      <c r="F2" s="1">
        <v>154</v>
      </c>
      <c r="G2" s="1">
        <v>66</v>
      </c>
      <c r="L2">
        <f>SUM(Tabelle1[[#This Row],[Raumwärme]:[syn Fuel]])</f>
        <v>627</v>
      </c>
      <c r="M2">
        <v>5.2</v>
      </c>
      <c r="N2">
        <f>Tabelle1[[#This Row],[Differenz]]+Tabelle1[[#This Row],[SubSumme]]</f>
        <v>632.20000000000005</v>
      </c>
    </row>
    <row r="3" spans="1:14" x14ac:dyDescent="0.25">
      <c r="A3" t="s">
        <v>3</v>
      </c>
      <c r="B3">
        <v>106</v>
      </c>
      <c r="C3">
        <v>7</v>
      </c>
      <c r="D3">
        <v>4</v>
      </c>
      <c r="E3">
        <v>40</v>
      </c>
      <c r="F3">
        <v>121</v>
      </c>
      <c r="J3">
        <f t="shared" ref="J3" si="0">32.2*0.4</f>
        <v>12.880000000000003</v>
      </c>
      <c r="L3">
        <f>SUM(Tabelle1[[#This Row],[Raumwärme]:[syn Fuel]])</f>
        <v>290.88</v>
      </c>
      <c r="M3">
        <f>32.19-Tabelle1[[#This Row],[Strom neu]]</f>
        <v>19.309999999999995</v>
      </c>
      <c r="N3">
        <f>Tabelle1[[#This Row],[Differenz]]+Tabelle1[[#This Row],[SubSumme]]</f>
        <v>310.19</v>
      </c>
    </row>
    <row r="4" spans="1:14" x14ac:dyDescent="0.25">
      <c r="A4" t="s">
        <v>4</v>
      </c>
      <c r="F4">
        <v>16</v>
      </c>
      <c r="G4">
        <v>36</v>
      </c>
      <c r="H4">
        <f>(639-112)*0.4</f>
        <v>210.8</v>
      </c>
      <c r="I4">
        <f>0.9+3.25+4.13</f>
        <v>8.2800000000000011</v>
      </c>
      <c r="K4">
        <v>112</v>
      </c>
      <c r="L4">
        <f>SUM(Tabelle1[[#This Row],[Raumwärme]:[syn Fuel]])</f>
        <v>383.08000000000004</v>
      </c>
      <c r="M4">
        <f>(639-112)-Tabelle1[[#This Row],[mech. Energie]]</f>
        <v>316.2</v>
      </c>
      <c r="N4">
        <f>Tabelle1[[#This Row],[Differenz]]+Tabelle1[[#This Row],[SubSumme]]</f>
        <v>699.28</v>
      </c>
    </row>
    <row r="5" spans="1:14" x14ac:dyDescent="0.25">
      <c r="A5" t="s">
        <v>5</v>
      </c>
      <c r="L5">
        <f>SUM(Tabelle1[[#This Row],[Raumwärme]:[syn Fuel]])</f>
        <v>0</v>
      </c>
      <c r="N5">
        <f>Tabelle1[[#This Row],[Differenz]]+Tabelle1[[#This Row],[SubSumme]]</f>
        <v>0</v>
      </c>
    </row>
  </sheetData>
  <pageMargins left="0.7" right="0.7" top="0.78740157499999996" bottom="0.78740157499999996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ms119227</dc:creator>
  <cp:lastModifiedBy>ms119227</cp:lastModifiedBy>
  <dcterms:created xsi:type="dcterms:W3CDTF">2025-10-18T09:31:10Z</dcterms:created>
  <dcterms:modified xsi:type="dcterms:W3CDTF">2025-10-20T09:51:33Z</dcterms:modified>
</cp:coreProperties>
</file>