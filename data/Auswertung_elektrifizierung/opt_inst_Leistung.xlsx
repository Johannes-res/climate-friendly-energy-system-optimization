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_leistung" sheetId="1" state="visible" r:id="rId3"/>
    <sheet name="batterie_kapazitaet" sheetId="2" state="visible" r:id="rId4"/>
    <sheet name="pump_kapazita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<sst xmlns="http://schemas.openxmlformats.org/spreadsheetml/2006/main" count="30" uniqueCount="18">
  <si>
    <t xml:space="preserve">Technologie</t>
  </si>
  <si>
    <t xml:space="preserve">Träger</t>
  </si>
  <si>
    <t xml:space="preserve">Wert</t>
  </si>
  <si>
    <t xml:space="preserve">Leistung in GW</t>
  </si>
  <si>
    <t xml:space="preserve">max Leistungen in GW</t>
  </si>
  <si>
    <t xml:space="preserve">min</t>
  </si>
  <si>
    <t xml:space="preserve">Ausnutzungsgrad</t>
  </si>
  <si>
    <t xml:space="preserve">Ausbaugrad</t>
  </si>
  <si>
    <t xml:space="preserve">Fotovoltaik</t>
  </si>
  <si>
    <t xml:space="preserve">Strom</t>
  </si>
  <si>
    <t xml:space="preserve">Wind_Onshore</t>
  </si>
  <si>
    <t xml:space="preserve">Wind_Offshore</t>
  </si>
  <si>
    <t xml:space="preserve">Laufwasser</t>
  </si>
  <si>
    <t xml:space="preserve">Geothermie</t>
  </si>
  <si>
    <t xml:space="preserve">Andere</t>
  </si>
  <si>
    <t xml:space="preserve">Batteriespeicher</t>
  </si>
  <si>
    <t xml:space="preserve">Pumpspeicher</t>
  </si>
  <si>
    <t xml:space="preserve">Wasserstoffkaverne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</si>
</sst>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Z32" activeCellId="0" sqref="Z3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7.13"/>
    <col collapsed="false" customWidth="true" hidden="false" outlineLevel="0" max="7" min="7" style="1" width="17.67"/>
    <col collapsed="false" customWidth="false" hidden="false" outlineLevel="0" max="8" min="8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  <c r="F1" s="3" t="s">
        <v>4</v>
      </c>
      <c r="G1" s="1" t="s">
        <v>5</v>
      </c>
      <c r="I1" s="1" t="s">
        <v>6</v>
      </c>
      <c r="K1" s="0" t="s">
        <v>7</v>
      </c>
    </row>
    <row r="2" customFormat="false" ht="15" hidden="false" customHeight="false" outlineLevel="0" collapsed="false">
      <c r="A2" s="2" t="s">
        <v>8</v>
      </c>
      <c r="B2" s="1" t="s">
        <v>9</v>
      </c>
      <c r="C2" s="1" t="n">
        <v>322745.57</v>
      </c>
      <c r="D2" s="1" t="n">
        <f aca="false">C2/1000</f>
        <v>322.74557</v>
      </c>
      <c r="E2" s="1" t="n">
        <v>1000000</v>
      </c>
      <c r="F2" s="1" t="n">
        <f aca="false">E2/1000</f>
        <v>1000</v>
      </c>
      <c r="G2" s="1" t="n">
        <v>83000</v>
      </c>
      <c r="H2" s="1" t="n">
        <f aca="false">G2/1000</f>
        <v>83</v>
      </c>
      <c r="I2" s="1" t="n">
        <f aca="false">D2/F2*100</f>
        <v>32.274557</v>
      </c>
      <c r="K2" s="0" t="n">
        <f aca="false">D2/H2*100</f>
        <v>388.850084337349</v>
      </c>
    </row>
    <row r="3" customFormat="false" ht="15" hidden="false" customHeight="false" outlineLevel="0" collapsed="false">
      <c r="A3" s="2" t="s">
        <v>10</v>
      </c>
      <c r="B3" s="1" t="s">
        <v>9</v>
      </c>
      <c r="C3" s="1" t="n">
        <v>365900</v>
      </c>
      <c r="D3" s="1" t="n">
        <f aca="false">C3/1000</f>
        <v>365.9</v>
      </c>
      <c r="E3" s="1" t="n">
        <v>365900</v>
      </c>
      <c r="F3" s="1" t="n">
        <f aca="false">E3/1000</f>
        <v>365.9</v>
      </c>
      <c r="G3" s="1" t="n">
        <v>60976</v>
      </c>
      <c r="H3" s="1" t="n">
        <f aca="false">G3/1000</f>
        <v>60.976</v>
      </c>
      <c r="I3" s="1" t="n">
        <f aca="false">D3/F3*100</f>
        <v>100</v>
      </c>
      <c r="K3" s="0" t="n">
        <f aca="false">D3/H3*100</f>
        <v>600.072159538179</v>
      </c>
    </row>
    <row r="4" customFormat="false" ht="15" hidden="false" customHeight="false" outlineLevel="0" collapsed="false">
      <c r="A4" s="2" t="s">
        <v>11</v>
      </c>
      <c r="B4" s="1" t="s">
        <v>9</v>
      </c>
      <c r="C4" s="1" t="n">
        <v>8473</v>
      </c>
      <c r="D4" s="1" t="n">
        <f aca="false">C4/1000</f>
        <v>8.473</v>
      </c>
      <c r="E4" s="1" t="n">
        <v>81600</v>
      </c>
      <c r="F4" s="1" t="n">
        <f aca="false">E4/1000</f>
        <v>81.6</v>
      </c>
      <c r="G4" s="1" t="n">
        <v>8473</v>
      </c>
      <c r="H4" s="1" t="n">
        <f aca="false">G4/1000</f>
        <v>8.473</v>
      </c>
      <c r="I4" s="1" t="n">
        <f aca="false">D4/F4*100</f>
        <v>10.3835784313726</v>
      </c>
      <c r="K4" s="0" t="n">
        <f aca="false">D4/H4*100</f>
        <v>100</v>
      </c>
    </row>
    <row r="5" customFormat="false" ht="15" hidden="false" customHeight="false" outlineLevel="0" collapsed="false">
      <c r="A5" s="2" t="s">
        <v>12</v>
      </c>
      <c r="B5" s="1" t="s">
        <v>9</v>
      </c>
      <c r="C5" s="1" t="n">
        <v>9439</v>
      </c>
      <c r="D5" s="1" t="n">
        <f aca="false">C5/1000</f>
        <v>9.439</v>
      </c>
      <c r="E5" s="1" t="n">
        <v>9439</v>
      </c>
      <c r="F5" s="1" t="n">
        <f aca="false">E5/1000</f>
        <v>9.439</v>
      </c>
      <c r="G5" s="1" t="n">
        <v>6439</v>
      </c>
      <c r="H5" s="1" t="n">
        <f aca="false">G5/1000</f>
        <v>6.439</v>
      </c>
      <c r="I5" s="1" t="n">
        <f aca="false">D5/F5*100</f>
        <v>100</v>
      </c>
      <c r="K5" s="0" t="n">
        <f aca="false">D5/H5*100</f>
        <v>146.591085572294</v>
      </c>
    </row>
    <row r="6" customFormat="false" ht="15" hidden="false" customHeight="false" outlineLevel="0" collapsed="false">
      <c r="A6" s="2" t="s">
        <v>13</v>
      </c>
      <c r="B6" s="1" t="s">
        <v>9</v>
      </c>
      <c r="C6" s="1" t="n">
        <v>0</v>
      </c>
      <c r="D6" s="1" t="n">
        <f aca="false">C6/1000</f>
        <v>0</v>
      </c>
      <c r="E6" s="4" t="n">
        <v>0</v>
      </c>
      <c r="F6" s="1" t="n">
        <f aca="false">E6/1000</f>
        <v>0</v>
      </c>
      <c r="G6" s="4" t="n">
        <v>0</v>
      </c>
      <c r="H6" s="1" t="n">
        <f aca="false">G6/1000</f>
        <v>0</v>
      </c>
      <c r="I6" s="1" t="e">
        <f aca="false">D6/F6*100</f>
        <v>#DIV/0!</v>
      </c>
      <c r="K6" s="0" t="e">
        <f aca="false">D6/H6*100</f>
        <v>#DIV/0!</v>
      </c>
    </row>
    <row r="7" customFormat="false" ht="15" hidden="false" customHeight="false" outlineLevel="0" collapsed="false">
      <c r="A7" s="2" t="s">
        <v>14</v>
      </c>
      <c r="B7" s="1" t="s">
        <v>9</v>
      </c>
      <c r="C7" s="1" t="n">
        <v>0</v>
      </c>
      <c r="D7" s="1" t="n">
        <f aca="false">C7/1000</f>
        <v>0</v>
      </c>
      <c r="E7" s="1" t="n">
        <v>999999</v>
      </c>
      <c r="F7" s="1" t="n">
        <f aca="false">E7/1000</f>
        <v>999.999</v>
      </c>
      <c r="G7" s="1" t="n">
        <v>0</v>
      </c>
      <c r="H7" s="1" t="n">
        <f aca="false">G7/1000</f>
        <v>0</v>
      </c>
      <c r="I7" s="1" t="n">
        <f aca="false">D7/F7*100</f>
        <v>0</v>
      </c>
      <c r="K7" s="0" t="e">
        <f aca="false">D7/H7*100</f>
        <v>#DIV/0!</v>
      </c>
    </row>
    <row r="8" customFormat="false" ht="15" hidden="false" customHeight="false" outlineLevel="0" collapsed="false">
      <c r="A8" s="2" t="s">
        <v>15</v>
      </c>
      <c r="B8" s="1" t="s">
        <v>9</v>
      </c>
      <c r="C8" s="1" t="n">
        <v>74515.807</v>
      </c>
      <c r="D8" s="1" t="n">
        <f aca="false">C8/1000</f>
        <v>74.515807</v>
      </c>
      <c r="E8" s="1" t="n">
        <v>132000</v>
      </c>
      <c r="F8" s="1" t="n">
        <f aca="false">E8/1000</f>
        <v>132</v>
      </c>
      <c r="G8" s="1" t="n">
        <v>1200</v>
      </c>
      <c r="H8" s="1" t="n">
        <f aca="false">G8/1000</f>
        <v>1.2</v>
      </c>
      <c r="I8" s="1" t="n">
        <f aca="false">D8/F8*100</f>
        <v>56.4513689393939</v>
      </c>
      <c r="K8" s="0" t="n">
        <f aca="false">D8/H8*100</f>
        <v>6209.65058333333</v>
      </c>
    </row>
    <row r="9" customFormat="false" ht="15" hidden="false" customHeight="false" outlineLevel="0" collapsed="false">
      <c r="A9" s="2" t="s">
        <v>16</v>
      </c>
      <c r="B9" s="1" t="s">
        <v>9</v>
      </c>
      <c r="C9" s="1" t="n">
        <v>6214</v>
      </c>
      <c r="D9" s="1" t="n">
        <f aca="false">C9/1000</f>
        <v>6.214</v>
      </c>
      <c r="E9" s="1" t="n">
        <v>34830</v>
      </c>
      <c r="F9" s="1" t="n">
        <f aca="false">E9/1000</f>
        <v>34.83</v>
      </c>
      <c r="G9" s="1" t="n">
        <v>6214</v>
      </c>
      <c r="H9" s="1" t="n">
        <f aca="false">G9/1000</f>
        <v>6.214</v>
      </c>
      <c r="I9" s="1" t="n">
        <f aca="false">D9/F9*100</f>
        <v>17.8409417169107</v>
      </c>
      <c r="K9" s="0" t="n">
        <f aca="false">D9/H9*100</f>
        <v>100</v>
      </c>
    </row>
    <row r="10" customFormat="false" ht="15" hidden="false" customHeight="false" outlineLevel="0" collapsed="false">
      <c r="A10" s="2" t="s">
        <v>17</v>
      </c>
      <c r="B10" s="1" t="s">
        <v>9</v>
      </c>
      <c r="C10" s="1" t="n">
        <v>173349.98</v>
      </c>
      <c r="D10" s="1" t="n">
        <f aca="false">C10/1000</f>
        <v>173.34998</v>
      </c>
      <c r="E10" s="1" t="n">
        <v>2000000</v>
      </c>
      <c r="F10" s="1" t="n">
        <v>47</v>
      </c>
      <c r="G10" s="1" t="n">
        <v>0.0001</v>
      </c>
      <c r="H10" s="1" t="n">
        <f aca="false">G10/1000</f>
        <v>1E-007</v>
      </c>
      <c r="I10" s="1" t="n">
        <f aca="false">D10/F10*100</f>
        <v>368.829744680851</v>
      </c>
      <c r="K10" s="0" t="n">
        <f aca="false">D10/H10*100</f>
        <v>173349980000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B1" s="2" t="s">
        <v>2</v>
      </c>
    </row>
    <row r="2" customFormat="false" ht="15" hidden="false" customHeight="false" outlineLevel="0" collapsed="false">
      <c r="A2" s="2" t="s">
        <v>15</v>
      </c>
      <c r="B2" s="1" t="n">
        <v>149031.61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B1" s="2" t="s">
        <v>2</v>
      </c>
    </row>
    <row r="2" customFormat="false" ht="15" hidden="false" customHeight="false" outlineLevel="0" collapsed="false">
      <c r="A2" s="2" t="s">
        <v>16</v>
      </c>
      <c r="B2" s="1" t="n">
        <v>62140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2025-11-25T12:52:15Z</dcterms:created>
  <dc:creator>openpyxl</dc:creator>
  <dc:description/>
  <dc:language>de-DE</dc:language>
  <cp:lastModifiedBy/>
  <dcterms:modified xsi:type="dcterms:W3CDTF">2025-11-26T16:47:52Z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