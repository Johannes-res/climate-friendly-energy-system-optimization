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icher_Statistike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Unbekannter Autor</author>
  </authors>
  <commentList>
    <comment ref="D4" authorId="0">
      <text>
        <r>
          <rPr>
            <sz val="10"/>
            <rFont val="Arial"/>
            <family val="2"/>
          </rPr>
          <t xml:space="preserve">33TWh umrüstung, rest durch Neubau
</t>
        </r>
      </text>
    </comment>
  </commentList>
</comments>
</file>

<file path=xl/sharedStrings.xml><?xml version="1.0" encoding="utf-8"?>
<sst xmlns="http://schemas.openxmlformats.org/spreadsheetml/2006/main" count="16" uniqueCount="16">
  <si>
    <t xml:space="preserve">Speicher</t>
  </si>
  <si>
    <t xml:space="preserve">Zeitschritte</t>
  </si>
  <si>
    <t xml:space="preserve">Kapazität [MWh]</t>
  </si>
  <si>
    <t xml:space="preserve">obere Grenze</t>
  </si>
  <si>
    <t xml:space="preserve">Kapazität [Twh]</t>
  </si>
  <si>
    <t xml:space="preserve">Ausnutzung [%]</t>
  </si>
  <si>
    <t xml:space="preserve">Max SOC [MWh]</t>
  </si>
  <si>
    <t xml:space="preserve">Min SOC [MWh]</t>
  </si>
  <si>
    <t xml:space="preserve">Durchschn. SOC [MWh]</t>
  </si>
  <si>
    <t xml:space="preserve">Max Entladung [MW]</t>
  </si>
  <si>
    <t xml:space="preserve">Max Ladung [MW]</t>
  </si>
  <si>
    <t xml:space="preserve">Gesamte Entladung [MWh]</t>
  </si>
  <si>
    <t xml:space="preserve">Gesamte Ladung [MWh]</t>
  </si>
  <si>
    <t xml:space="preserve">Batteriespeicher_Batterie</t>
  </si>
  <si>
    <t xml:space="preserve">Pumpspeicher_Pump</t>
  </si>
  <si>
    <t xml:space="preserve">Wasserstoffkaverne_H2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</si>
</sst>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2.53"/>
    <col collapsed="false" customWidth="true" hidden="false" outlineLevel="0" max="3" min="3" style="0" width="21.84"/>
    <col collapsed="false" customWidth="true" hidden="false" outlineLevel="0" max="5" min="4" style="0" width="25.59"/>
    <col collapsed="false" customWidth="true" hidden="false" outlineLevel="0" max="6" min="6" style="0" width="21.84"/>
    <col collapsed="false" customWidth="true" hidden="false" outlineLevel="0" max="7" min="7" style="0" width="15.72"/>
    <col collapsed="false" customWidth="true" hidden="false" outlineLevel="0" max="8" min="8" style="0" width="18.36"/>
    <col collapsed="false" customWidth="true" hidden="false" outlineLevel="0" max="9" min="9" style="0" width="31.72"/>
    <col collapsed="false" customWidth="true" hidden="false" outlineLevel="0" max="10" min="10" style="0" width="26.84"/>
    <col collapsed="false" customWidth="true" hidden="false" outlineLevel="0" max="11" min="11" style="0" width="26.16"/>
    <col collapsed="false" customWidth="true" hidden="false" outlineLevel="0" max="12" min="12" style="0" width="20.86"/>
    <col collapsed="false" customWidth="true" hidden="false" outlineLevel="0" max="13" min="13" style="0" width="24.2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s">
        <v>13</v>
      </c>
      <c r="B2" s="0" t="n">
        <v>35036</v>
      </c>
      <c r="C2" s="0" t="n">
        <v>149031.61</v>
      </c>
      <c r="D2" s="2" t="n">
        <v>0.525</v>
      </c>
      <c r="E2" s="0" t="n">
        <f aca="false">C2/1000000</f>
        <v>0.14903161</v>
      </c>
      <c r="F2" s="0" t="n">
        <f aca="false">E2/D2*100</f>
        <v>28.3869733333333</v>
      </c>
      <c r="G2" s="0" t="n">
        <v>149031.61</v>
      </c>
      <c r="H2" s="0" t="n">
        <v>0</v>
      </c>
      <c r="I2" s="0" t="n">
        <v>5128.40667975855</v>
      </c>
      <c r="J2" s="0" t="n">
        <v>74515.807</v>
      </c>
      <c r="K2" s="0" t="n">
        <v>-74515.807</v>
      </c>
      <c r="L2" s="0" t="n">
        <v>27265211.7226449</v>
      </c>
      <c r="M2" s="0" t="n">
        <v>27246582.780931</v>
      </c>
    </row>
    <row r="3" customFormat="false" ht="15" hidden="false" customHeight="false" outlineLevel="0" collapsed="false">
      <c r="A3" s="0" t="s">
        <v>14</v>
      </c>
      <c r="B3" s="0" t="n">
        <v>8759</v>
      </c>
      <c r="C3" s="0" t="n">
        <v>62140</v>
      </c>
      <c r="D3" s="2" t="n">
        <v>0.304</v>
      </c>
      <c r="E3" s="0" t="n">
        <f aca="false">C3/1000000</f>
        <v>0.06214</v>
      </c>
      <c r="F3" s="0" t="n">
        <f aca="false">E3/D3*100</f>
        <v>20.4407894736842</v>
      </c>
      <c r="G3" s="0" t="n">
        <v>62140</v>
      </c>
      <c r="H3" s="0" t="n">
        <v>-9.4190381E-012</v>
      </c>
      <c r="I3" s="0" t="n">
        <v>14515.42882473</v>
      </c>
      <c r="J3" s="0" t="n">
        <v>6214</v>
      </c>
      <c r="K3" s="0" t="n">
        <v>-6214</v>
      </c>
      <c r="L3" s="0" t="n">
        <v>4696381.3248575</v>
      </c>
      <c r="M3" s="0" t="n">
        <v>4696070.6249155</v>
      </c>
    </row>
    <row r="4" customFormat="false" ht="15" hidden="false" customHeight="false" outlineLevel="0" collapsed="false">
      <c r="A4" s="0" t="s">
        <v>15</v>
      </c>
      <c r="B4" s="0" t="n">
        <v>8759</v>
      </c>
      <c r="C4" s="0" t="n">
        <v>41324434</v>
      </c>
      <c r="D4" s="2" t="n">
        <v>33</v>
      </c>
      <c r="E4" s="0" t="n">
        <f aca="false">C4/1000000</f>
        <v>41.324434</v>
      </c>
      <c r="F4" s="0" t="n">
        <f aca="false">E4/D4*100</f>
        <v>125.225557575758</v>
      </c>
      <c r="G4" s="0" t="n">
        <v>27801942</v>
      </c>
      <c r="H4" s="0" t="n">
        <v>0</v>
      </c>
      <c r="I4" s="0" t="n">
        <v>13306055.1494176</v>
      </c>
      <c r="J4" s="0" t="n">
        <v>173349.98</v>
      </c>
      <c r="K4" s="0" t="n">
        <v>-173349.98</v>
      </c>
      <c r="L4" s="0" t="n">
        <v>86828387.579575</v>
      </c>
      <c r="M4" s="0" t="n">
        <v>86831082.1590008</v>
      </c>
    </row>
    <row r="7" customFormat="false" ht="15" hidden="false" customHeight="false" outlineLevel="0" collapsed="false">
      <c r="C7" s="2"/>
    </row>
    <row r="8" customFormat="false" ht="15" hidden="false" customHeight="false" outlineLevel="0" collapsed="false">
      <c r="C8" s="2"/>
    </row>
    <row r="9" customFormat="false" ht="15" hidden="false" customHeight="false" outlineLevel="0" collapsed="false">
      <c r="C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2025-11-25T12:52:21Z</dcterms:created>
  <dc:creator>openpyxl</dc:creator>
  <dc:description/>
  <dc:language>de-DE</dc:language>
  <cp:lastModifiedBy/>
  <dcterms:modified xsi:type="dcterms:W3CDTF">2025-11-26T15:44:42Z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